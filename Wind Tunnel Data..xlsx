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ni\Year 2\5001ME\Fluids&amp;Thermo\Coursework\WT\"/>
    </mc:Choice>
  </mc:AlternateContent>
  <xr:revisionPtr revIDLastSave="0" documentId="13_ncr:1_{00033358-AA12-4540-AC58-98B4C91F8D52}" xr6:coauthVersionLast="47" xr6:coauthVersionMax="47" xr10:uidLastSave="{00000000-0000-0000-0000-000000000000}"/>
  <bookViews>
    <workbookView xWindow="4125" yWindow="0" windowWidth="28800" windowHeight="15345" firstSheet="1" activeTab="5" xr2:uid="{F9B91679-15FC-4150-AACB-4F156EFF0936}"/>
  </bookViews>
  <sheets>
    <sheet name="Wind Tunnel Datas" sheetId="1" r:id="rId1"/>
    <sheet name="Run 1 Cube 0" sheetId="2" r:id="rId2"/>
    <sheet name="Run 2 Cube 45" sheetId="3" r:id="rId3"/>
    <sheet name="Run 3 Rectangle" sheetId="4" r:id="rId4"/>
    <sheet name="Run 4 Streamline Body" sheetId="5" r:id="rId5"/>
    <sheet name="graph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5" i="2"/>
  <c r="J5" i="2" s="1"/>
  <c r="Q5" i="2" s="1"/>
  <c r="M4" i="2"/>
  <c r="O6" i="2"/>
  <c r="O5" i="2"/>
  <c r="O4" i="2"/>
  <c r="I11" i="2" a="1"/>
  <c r="I11" i="2"/>
  <c r="R5" i="3"/>
  <c r="Q6" i="3"/>
  <c r="J6" i="5"/>
  <c r="R6" i="5" s="1"/>
  <c r="R5" i="5"/>
  <c r="R4" i="5"/>
  <c r="P6" i="2"/>
  <c r="P5" i="2"/>
  <c r="P4" i="2"/>
  <c r="P6" i="4"/>
  <c r="P5" i="4"/>
  <c r="P4" i="4"/>
  <c r="Q4" i="5"/>
  <c r="N4" i="5"/>
  <c r="J4" i="5" s="1"/>
  <c r="P6" i="5"/>
  <c r="P5" i="5"/>
  <c r="P4" i="5"/>
  <c r="O4" i="3"/>
  <c r="P6" i="3"/>
  <c r="P5" i="3"/>
  <c r="P4" i="3"/>
  <c r="I15" i="5" a="1"/>
  <c r="I15" i="5" s="1"/>
  <c r="I14" i="5" a="1"/>
  <c r="I14" i="5" s="1"/>
  <c r="I13" i="5" a="1"/>
  <c r="I13" i="5" s="1"/>
  <c r="I12" i="5"/>
  <c r="I12" i="5" a="1"/>
  <c r="I15" i="4" a="1"/>
  <c r="I15" i="4" s="1"/>
  <c r="I14" i="4" a="1"/>
  <c r="I14" i="4" s="1"/>
  <c r="I13" i="4" a="1"/>
  <c r="I13" i="4" s="1"/>
  <c r="I12" i="4"/>
  <c r="I12" i="4" a="1"/>
  <c r="I13" i="3" a="1"/>
  <c r="I13" i="3" s="1"/>
  <c r="I15" i="3" a="1"/>
  <c r="I15" i="3" s="1"/>
  <c r="I14" i="3" a="1"/>
  <c r="I14" i="3" s="1"/>
  <c r="I12" i="3" a="1"/>
  <c r="I12" i="3" s="1"/>
  <c r="O6" i="5"/>
  <c r="N6" i="5"/>
  <c r="M6" i="5"/>
  <c r="O5" i="5"/>
  <c r="N5" i="5"/>
  <c r="J5" i="5" s="1"/>
  <c r="M5" i="5"/>
  <c r="O4" i="5"/>
  <c r="M4" i="5"/>
  <c r="J2" i="5"/>
  <c r="O6" i="4"/>
  <c r="N6" i="4"/>
  <c r="J6" i="4" s="1"/>
  <c r="M6" i="4"/>
  <c r="O5" i="4"/>
  <c r="N5" i="4"/>
  <c r="J5" i="4" s="1"/>
  <c r="M5" i="4"/>
  <c r="O4" i="4"/>
  <c r="N4" i="4"/>
  <c r="J4" i="4" s="1"/>
  <c r="M4" i="4"/>
  <c r="J2" i="4"/>
  <c r="O6" i="3"/>
  <c r="O5" i="3"/>
  <c r="N4" i="3"/>
  <c r="J4" i="3" s="1"/>
  <c r="N5" i="3"/>
  <c r="N6" i="3"/>
  <c r="M6" i="3"/>
  <c r="M5" i="3"/>
  <c r="M4" i="3"/>
  <c r="J6" i="2"/>
  <c r="Q6" i="2" s="1"/>
  <c r="J4" i="2"/>
  <c r="R4" i="2" s="1"/>
  <c r="I14" i="2" a="1"/>
  <c r="I14" i="2" s="1"/>
  <c r="I13" i="2" a="1"/>
  <c r="I13" i="2" s="1"/>
  <c r="I12" i="2" a="1"/>
  <c r="I12" i="2" s="1"/>
  <c r="F5" i="1"/>
  <c r="E4" i="1"/>
  <c r="E5" i="1"/>
  <c r="E6" i="1"/>
  <c r="E7" i="1"/>
  <c r="E8" i="1"/>
  <c r="E9" i="1"/>
  <c r="E10" i="1"/>
  <c r="C6" i="1"/>
  <c r="C5" i="1"/>
  <c r="C7" i="1"/>
  <c r="F7" i="1" s="1"/>
  <c r="C8" i="1"/>
  <c r="F8" i="1" s="1"/>
  <c r="C9" i="1"/>
  <c r="C10" i="1"/>
  <c r="F10" i="1" s="1"/>
  <c r="C4" i="1"/>
  <c r="R6" i="2" l="1"/>
  <c r="R5" i="2"/>
  <c r="Q4" i="2"/>
  <c r="Q6" i="5"/>
  <c r="Q5" i="5"/>
  <c r="Q4" i="4"/>
  <c r="Q5" i="4"/>
  <c r="R4" i="4"/>
  <c r="R5" i="4"/>
  <c r="Q6" i="4"/>
  <c r="R6" i="4"/>
  <c r="R4" i="3"/>
  <c r="J6" i="3"/>
  <c r="R6" i="3" s="1"/>
  <c r="J5" i="3"/>
  <c r="Q4" i="3"/>
  <c r="F6" i="1"/>
  <c r="F9" i="1"/>
  <c r="F4" i="1"/>
  <c r="Q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<sst xmlns="http://schemas.openxmlformats.org/spreadsheetml/2006/main" count="263" uniqueCount="53">
  <si>
    <t>Reynolds Number</t>
  </si>
  <si>
    <t>Boundary Layer Thickness (m)</t>
  </si>
  <si>
    <t>Laminar or Turbulent</t>
  </si>
  <si>
    <t>Friction Coefficient</t>
  </si>
  <si>
    <t>Air Density</t>
  </si>
  <si>
    <t>Air Dynamic Viscosity</t>
  </si>
  <si>
    <t xml:space="preserve">Laminar </t>
  </si>
  <si>
    <t>Turbulent</t>
  </si>
  <si>
    <t>Laminar Flow</t>
  </si>
  <si>
    <t>Turbulent Flow</t>
  </si>
  <si>
    <t>Laminar Fr</t>
  </si>
  <si>
    <t>Turbulent Fr</t>
  </si>
  <si>
    <t>Data Section</t>
  </si>
  <si>
    <t>Data Section Time (sec)</t>
  </si>
  <si>
    <t>Begin Sample</t>
  </si>
  <si>
    <t>Time s</t>
  </si>
  <si>
    <t>End Sample</t>
  </si>
  <si>
    <t>Wind Speed Syn (m/s)</t>
  </si>
  <si>
    <t>mean</t>
  </si>
  <si>
    <t>Yaw Angle Actual (°)</t>
  </si>
  <si>
    <t>Pitch Actuator Actual (user defined)</t>
  </si>
  <si>
    <t>Air Density (kg/m3)</t>
  </si>
  <si>
    <t>Pressure Ambient Tunnel Hall (mbar)</t>
  </si>
  <si>
    <t>Temperature Tunnel Air Temp (°C)</t>
  </si>
  <si>
    <t>Temperature Ambient Tunnel Hall (°C)</t>
  </si>
  <si>
    <t>Dynamic Viscosity (user defined)</t>
  </si>
  <si>
    <t>Drag Force (N)</t>
  </si>
  <si>
    <t>Side Force (N)</t>
  </si>
  <si>
    <t>Lift Force (N)</t>
  </si>
  <si>
    <t>Roll Moment (Nm)</t>
  </si>
  <si>
    <t>Pitch Moment (Nm)</t>
  </si>
  <si>
    <t>Yaw Moment (Nm)</t>
  </si>
  <si>
    <t>Resolved Force X (N)</t>
  </si>
  <si>
    <t>Resolved Force Y (N)</t>
  </si>
  <si>
    <t>Resolved Force Z (N)</t>
  </si>
  <si>
    <t>Resolved Moment Roll (Nm)</t>
  </si>
  <si>
    <t>Resolved Moment Pitch (Nm)</t>
  </si>
  <si>
    <t>Resolved Moment Yaw (Nm)</t>
  </si>
  <si>
    <t>Ambient Temp Avg</t>
  </si>
  <si>
    <t>Pressure avg</t>
  </si>
  <si>
    <t>Tunnel Temp Avg</t>
  </si>
  <si>
    <t>Mean Density</t>
  </si>
  <si>
    <t xml:space="preserve">Frontal Area </t>
  </si>
  <si>
    <t>ρ</t>
  </si>
  <si>
    <t>Fd</t>
  </si>
  <si>
    <t>Fl</t>
  </si>
  <si>
    <t>Speed (est)</t>
  </si>
  <si>
    <t>V (real)</t>
  </si>
  <si>
    <t>Cd</t>
  </si>
  <si>
    <t>Cl</t>
  </si>
  <si>
    <t>Dynamic Pressure</t>
  </si>
  <si>
    <t>Length (m)</t>
  </si>
  <si>
    <t xml:space="preserve">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</si>
</sst>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00000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6" fontId="1" fillId="2" borderId="0" xfId="0" applyNumberFormat="1" applyFont="1" applyFill="1"/>
    <xf numFmtId="0" fontId="1" fillId="0" borderId="0" xfId="0" applyFont="1"/>
    <xf numFmtId="166" fontId="1" fillId="0" borderId="0" xfId="0" applyNumberFormat="1" applyFont="1"/>
    <xf numFmtId="1" fontId="1" fillId="0" borderId="0" xfId="0" applyNumberFormat="1" applyFont="1"/>
    <xf numFmtId="0" fontId="2" fillId="2" borderId="0" xfId="0" applyFont="1" applyFill="1"/>
    <xf numFmtId="166" fontId="2" fillId="2" borderId="0" xfId="0" applyNumberFormat="1" applyFont="1" applyFill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Friction Coefficient against Reynolds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Datas'!$C$4:$C$10</c:f>
              <c:numCache>
                <c:formatCode>#,##0.0000</c:formatCode>
                <c:ptCount val="7"/>
                <c:pt idx="0">
                  <c:v>88311.724600424743</c:v>
                </c:pt>
                <c:pt idx="1">
                  <c:v>264935.17380127421</c:v>
                </c:pt>
                <c:pt idx="2">
                  <c:v>529870.34760254843</c:v>
                </c:pt>
                <c:pt idx="3">
                  <c:v>883117.24600424734</c:v>
                </c:pt>
                <c:pt idx="4">
                  <c:v>1766234.4920084947</c:v>
                </c:pt>
                <c:pt idx="5">
                  <c:v>2649351.7380127418</c:v>
                </c:pt>
                <c:pt idx="6">
                  <c:v>3532468.9840169894</c:v>
                </c:pt>
              </c:numCache>
            </c:numRef>
          </c:xVal>
          <c:yVal>
            <c:numRef>
              <c:f>'Wind Tunnel Datas'!$F$4:$F$10</c:f>
              <c:numCache>
                <c:formatCode>General</c:formatCode>
                <c:ptCount val="7"/>
                <c:pt idx="0">
                  <c:v>2.2343895748122666E-3</c:v>
                </c:pt>
                <c:pt idx="1">
                  <c:v>1.2900254224923558E-3</c:v>
                </c:pt>
                <c:pt idx="2">
                  <c:v>4.1079509326561302E-3</c:v>
                </c:pt>
                <c:pt idx="3">
                  <c:v>3.8188497264651285E-3</c:v>
                </c:pt>
                <c:pt idx="4">
                  <c:v>3.4588225675272156E-3</c:v>
                </c:pt>
                <c:pt idx="5">
                  <c:v>3.2641671497311152E-3</c:v>
                </c:pt>
                <c:pt idx="6">
                  <c:v>3.1327374498994419E-3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81-4EBE-8B34-15678125E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846128"/>
        <c:axId val="1241848528"/>
      </c:scatterChart>
      <c:valAx>
        <c:axId val="124184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Reynolds Number (Re)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848528"/>
        <c:crosses val="autoZero"/>
        <c:crossBetween val="midCat"/>
      </c:valAx>
      <c:valAx>
        <c:axId val="12418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Friction Coefficient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84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</a:t>
            </a:r>
            <a:r>
              <a:rPr lang="en-US" baseline="0"/>
              <a:t> Force</a:t>
            </a:r>
          </a:p>
          <a:p>
            <a:pPr>
              <a:defRPr/>
            </a:pPr>
            <a:r>
              <a:rPr lang="en-US"/>
              <a:t> agaisnt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Cd agaisnt Airflow Velocity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Cube 0'!$M$4:$M$6</c:f>
              <c:numCache>
                <c:formatCode>General</c:formatCode>
                <c:ptCount val="3"/>
                <c:pt idx="0">
                  <c:v>10.030619620155957</c:v>
                </c:pt>
                <c:pt idx="1">
                  <c:v>19.966271898967786</c:v>
                </c:pt>
                <c:pt idx="2">
                  <c:v>29.9695008442297</c:v>
                </c:pt>
              </c:numCache>
            </c:numRef>
          </c:xVal>
          <c:yVal>
            <c:numRef>
              <c:f>'Run 1 Cube 0'!$O$4:$O$6</c:f>
              <c:numCache>
                <c:formatCode>General</c:formatCode>
                <c:ptCount val="3"/>
                <c:pt idx="0">
                  <c:v>1.6433834121228335</c:v>
                </c:pt>
                <c:pt idx="1">
                  <c:v>6.4811378497942185</c:v>
                </c:pt>
                <c:pt idx="2">
                  <c:v>14.414477996761752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02-494C-B454-4DEBBCE2B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4895"/>
        <c:axId val="1242003248"/>
      </c:scatterChart>
      <c:valAx>
        <c:axId val="10543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03248"/>
        <c:crosses val="autoZero"/>
        <c:crossBetween val="midCat"/>
      </c:valAx>
      <c:valAx>
        <c:axId val="12420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Force</a:t>
            </a:r>
          </a:p>
          <a:p>
            <a:pPr>
              <a:defRPr/>
            </a:pPr>
            <a:r>
              <a:rPr lang="en-US"/>
              <a:t> agaisnt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Cd agaisnt Airflow Velocity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2 Cube 45'!$M$4:$M$6</c:f>
              <c:numCache>
                <c:formatCode>General</c:formatCode>
                <c:ptCount val="3"/>
                <c:pt idx="0">
                  <c:v>9.9702840797532506</c:v>
                </c:pt>
                <c:pt idx="1">
                  <c:v>19.934324008383019</c:v>
                </c:pt>
                <c:pt idx="2">
                  <c:v>29.929590386178514</c:v>
                </c:pt>
              </c:numCache>
            </c:numRef>
          </c:xVal>
          <c:yVal>
            <c:numRef>
              <c:f>'Run 2 Cube 45'!$O$4:$O$6</c:f>
              <c:numCache>
                <c:formatCode>General</c:formatCode>
                <c:ptCount val="3"/>
                <c:pt idx="0">
                  <c:v>1.7084390998209813</c:v>
                </c:pt>
                <c:pt idx="1">
                  <c:v>6.930658323192314</c:v>
                </c:pt>
                <c:pt idx="2">
                  <c:v>15.519517054947769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AA-4A28-8037-5A58D1FB8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4895"/>
        <c:axId val="1242003248"/>
      </c:scatterChart>
      <c:valAx>
        <c:axId val="10543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03248"/>
        <c:crosses val="autoZero"/>
        <c:crossBetween val="midCat"/>
      </c:valAx>
      <c:valAx>
        <c:axId val="12420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Force </a:t>
            </a:r>
          </a:p>
          <a:p>
            <a:pPr>
              <a:defRPr/>
            </a:pPr>
            <a:r>
              <a:rPr lang="en-US"/>
              <a:t>vs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Cd agaisnt Airflow Velocity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3 Rectangle'!$M$4:$M$6</c:f>
              <c:numCache>
                <c:formatCode>General</c:formatCode>
                <c:ptCount val="3"/>
                <c:pt idx="0">
                  <c:v>10.018532249841408</c:v>
                </c:pt>
                <c:pt idx="1">
                  <c:v>19.951595984426696</c:v>
                </c:pt>
                <c:pt idx="2">
                  <c:v>30.02680023965663</c:v>
                </c:pt>
              </c:numCache>
            </c:numRef>
          </c:xVal>
          <c:yVal>
            <c:numRef>
              <c:f>'Run 3 Rectangle'!$O$4:$O$6</c:f>
              <c:numCache>
                <c:formatCode>General</c:formatCode>
                <c:ptCount val="3"/>
                <c:pt idx="0">
                  <c:v>1.2934004569256337</c:v>
                </c:pt>
                <c:pt idx="1">
                  <c:v>5.1817785428280896</c:v>
                </c:pt>
                <c:pt idx="2">
                  <c:v>11.568754680372672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50-459F-8BE8-293969EB1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4895"/>
        <c:axId val="1242003248"/>
      </c:scatterChart>
      <c:valAx>
        <c:axId val="10543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 ms-1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03248"/>
        <c:crosses val="autoZero"/>
        <c:crossBetween val="midCat"/>
      </c:valAx>
      <c:valAx>
        <c:axId val="12420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force vs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4 Streamline Body'!$M$4:$M$6</c:f>
              <c:numCache>
                <c:formatCode>General</c:formatCode>
                <c:ptCount val="3"/>
                <c:pt idx="0">
                  <c:v>9.9316212079821629</c:v>
                </c:pt>
                <c:pt idx="1">
                  <c:v>19.982984328433869</c:v>
                </c:pt>
                <c:pt idx="2">
                  <c:v>30.061303514413591</c:v>
                </c:pt>
              </c:numCache>
            </c:numRef>
          </c:xVal>
          <c:yVal>
            <c:numRef>
              <c:f>'Run 4 Streamline Body'!$O$4:$O$6</c:f>
              <c:numCache>
                <c:formatCode>General</c:formatCode>
                <c:ptCount val="3"/>
                <c:pt idx="0">
                  <c:v>0.41516916533979437</c:v>
                </c:pt>
                <c:pt idx="1">
                  <c:v>1.5533807255726866</c:v>
                </c:pt>
                <c:pt idx="2">
                  <c:v>3.3489421543527316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A-4122-88C4-CE809C762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4895"/>
        <c:axId val="1242003248"/>
      </c:scatterChart>
      <c:valAx>
        <c:axId val="10543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 (ms-1)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03248"/>
        <c:crosses val="autoZero"/>
        <c:crossBetween val="midCat"/>
      </c:valAx>
      <c:valAx>
        <c:axId val="12420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Force vs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Cube 0 deg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Cube 0'!$M$4:$M$6</c:f>
              <c:numCache>
                <c:formatCode>General</c:formatCode>
                <c:ptCount val="3"/>
                <c:pt idx="0">
                  <c:v>10.030619620155957</c:v>
                </c:pt>
                <c:pt idx="1">
                  <c:v>19.966271898967786</c:v>
                </c:pt>
                <c:pt idx="2">
                  <c:v>29.9695008442297</c:v>
                </c:pt>
              </c:numCache>
            </c:numRef>
          </c:xVal>
          <c:yVal>
            <c:numRef>
              <c:f>'Run 1 Cube 0'!$O$4:$O$6</c:f>
              <c:numCache>
                <c:formatCode>General</c:formatCode>
                <c:ptCount val="3"/>
                <c:pt idx="0">
                  <c:v>1.6433834121228335</c:v>
                </c:pt>
                <c:pt idx="1">
                  <c:v>6.4811378497942185</c:v>
                </c:pt>
                <c:pt idx="2">
                  <c:v>14.414477996761752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C9-4DC8-AB23-740D59202BC7}"/>
            </c:ext>
          </c:extLst>
        </c:ser>
        <c:ser>
          <c:idx val="1"/>
          <c:order val="1"/>
          <c:tx>
            <c:v>Cube 45 deg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Cube 45'!$M$4:$M$6</c:f>
              <c:numCache>
                <c:formatCode>General</c:formatCode>
                <c:ptCount val="3"/>
                <c:pt idx="0">
                  <c:v>9.9702840797532506</c:v>
                </c:pt>
                <c:pt idx="1">
                  <c:v>19.934324008383019</c:v>
                </c:pt>
                <c:pt idx="2">
                  <c:v>29.929590386178514</c:v>
                </c:pt>
              </c:numCache>
            </c:numRef>
          </c:xVal>
          <c:yVal>
            <c:numRef>
              <c:f>'Run 2 Cube 45'!$O$4:$O$6</c:f>
              <c:numCache>
                <c:formatCode>General</c:formatCode>
                <c:ptCount val="3"/>
                <c:pt idx="0">
                  <c:v>1.7084390998209813</c:v>
                </c:pt>
                <c:pt idx="1">
                  <c:v>6.930658323192314</c:v>
                </c:pt>
                <c:pt idx="2">
                  <c:v>15.519517054947769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C9-4DC8-AB23-740D59202BC7}"/>
            </c:ext>
          </c:extLst>
        </c:ser>
        <c:ser>
          <c:idx val="2"/>
          <c:order val="2"/>
          <c:tx>
            <c:v>Rectanglar Cuboid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'Run 3 Rectangle'!$M$4:$M$6</c:f>
              <c:numCache>
                <c:formatCode>General</c:formatCode>
                <c:ptCount val="3"/>
                <c:pt idx="0">
                  <c:v>10.018532249841408</c:v>
                </c:pt>
                <c:pt idx="1">
                  <c:v>19.951595984426696</c:v>
                </c:pt>
                <c:pt idx="2">
                  <c:v>30.02680023965663</c:v>
                </c:pt>
              </c:numCache>
            </c:numRef>
          </c:xVal>
          <c:yVal>
            <c:numRef>
              <c:f>'Run 3 Rectangle'!$O$4:$O$6</c:f>
              <c:numCache>
                <c:formatCode>General</c:formatCode>
                <c:ptCount val="3"/>
                <c:pt idx="0">
                  <c:v>1.2934004569256337</c:v>
                </c:pt>
                <c:pt idx="1">
                  <c:v>5.1817785428280896</c:v>
                </c:pt>
                <c:pt idx="2">
                  <c:v>11.568754680372672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C9-4DC8-AB23-740D59202BC7}"/>
            </c:ext>
          </c:extLst>
        </c:ser>
        <c:ser>
          <c:idx val="3"/>
          <c:order val="3"/>
          <c:tx>
            <c:v>Streamline Body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'Run 4 Streamline Body'!$M$4:$M$6</c:f>
              <c:numCache>
                <c:formatCode>General</c:formatCode>
                <c:ptCount val="3"/>
                <c:pt idx="0">
                  <c:v>9.9316212079821629</c:v>
                </c:pt>
                <c:pt idx="1">
                  <c:v>19.982984328433869</c:v>
                </c:pt>
                <c:pt idx="2">
                  <c:v>30.061303514413591</c:v>
                </c:pt>
              </c:numCache>
            </c:numRef>
          </c:xVal>
          <c:yVal>
            <c:numRef>
              <c:f>'Run 4 Streamline Body'!$O$4:$O$6</c:f>
              <c:numCache>
                <c:formatCode>General</c:formatCode>
                <c:ptCount val="3"/>
                <c:pt idx="0">
                  <c:v>0.41516916533979437</c:v>
                </c:pt>
                <c:pt idx="1">
                  <c:v>1.5533807255726866</c:v>
                </c:pt>
                <c:pt idx="2">
                  <c:v>3.3489421543527316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C9-4DC8-AB23-740D59202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759072"/>
        <c:axId val="1329761952"/>
      </c:scatterChart>
      <c:valAx>
        <c:axId val="132975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61952"/>
        <c:crosses val="autoZero"/>
        <c:crossBetween val="midCat"/>
      </c:valAx>
      <c:valAx>
        <c:axId val="13297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59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Coefficient vs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Cube 0 deg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Cube 0'!$M$4:$M$6</c:f>
              <c:numCache>
                <c:formatCode>General</c:formatCode>
                <c:ptCount val="3"/>
                <c:pt idx="0">
                  <c:v>10.030619620155957</c:v>
                </c:pt>
                <c:pt idx="1">
                  <c:v>19.966271898967786</c:v>
                </c:pt>
                <c:pt idx="2">
                  <c:v>29.9695008442297</c:v>
                </c:pt>
              </c:numCache>
            </c:numRef>
          </c:xVal>
          <c:yVal>
            <c:numRef>
              <c:f>'Run 1 Cube 0'!$Q$4:$Q$6</c:f>
              <c:numCache>
                <c:formatCode>General</c:formatCode>
                <c:ptCount val="3"/>
                <c:pt idx="0">
                  <c:v>1.2789279554188</c:v>
                </c:pt>
                <c:pt idx="1">
                  <c:v>1.2676625546489624</c:v>
                </c:pt>
                <c:pt idx="2">
                  <c:v>1.2540163912611175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CA-4E8D-B6CD-988E45C50652}"/>
            </c:ext>
          </c:extLst>
        </c:ser>
        <c:ser>
          <c:idx val="1"/>
          <c:order val="1"/>
          <c:tx>
            <c:v>Cube 45 deg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Cube 45'!$M$4:$M$6</c:f>
              <c:numCache>
                <c:formatCode>General</c:formatCode>
                <c:ptCount val="3"/>
                <c:pt idx="0">
                  <c:v>9.9702840797532506</c:v>
                </c:pt>
                <c:pt idx="1">
                  <c:v>19.934324008383019</c:v>
                </c:pt>
                <c:pt idx="2">
                  <c:v>29.929590386178514</c:v>
                </c:pt>
              </c:numCache>
            </c:numRef>
          </c:xVal>
          <c:yVal>
            <c:numRef>
              <c:f>'Run 2 Cube 45'!$Q$4:$Q$6</c:f>
              <c:numCache>
                <c:formatCode>General</c:formatCode>
                <c:ptCount val="3"/>
                <c:pt idx="0">
                  <c:v>0.93346320951901096</c:v>
                </c:pt>
                <c:pt idx="1">
                  <c:v>0.94828564292679118</c:v>
                </c:pt>
                <c:pt idx="2">
                  <c:v>0.94442420784308911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CA-4E8D-B6CD-988E45C50652}"/>
            </c:ext>
          </c:extLst>
        </c:ser>
        <c:ser>
          <c:idx val="2"/>
          <c:order val="2"/>
          <c:tx>
            <c:v>Rectanglar Cuboid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'Run 3 Rectangle'!$M$4:$M$6</c:f>
              <c:numCache>
                <c:formatCode>General</c:formatCode>
                <c:ptCount val="3"/>
                <c:pt idx="0">
                  <c:v>10.018532249841408</c:v>
                </c:pt>
                <c:pt idx="1">
                  <c:v>19.951595984426696</c:v>
                </c:pt>
                <c:pt idx="2">
                  <c:v>30.02680023965663</c:v>
                </c:pt>
              </c:numCache>
            </c:numRef>
          </c:xVal>
          <c:yVal>
            <c:numRef>
              <c:f>'Run 3 Rectangle'!$Q$4:$Q$6</c:f>
              <c:numCache>
                <c:formatCode>General</c:formatCode>
                <c:ptCount val="3"/>
                <c:pt idx="0">
                  <c:v>1.0095097788485745</c:v>
                </c:pt>
                <c:pt idx="1">
                  <c:v>1.0203264817261288</c:v>
                </c:pt>
                <c:pt idx="2">
                  <c:v>1.0078625110923063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CA-4E8D-B6CD-988E45C50652}"/>
            </c:ext>
          </c:extLst>
        </c:ser>
        <c:ser>
          <c:idx val="3"/>
          <c:order val="3"/>
          <c:tx>
            <c:v>Streamline Body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'Run 4 Streamline Body'!$M$4:$M$6</c:f>
              <c:numCache>
                <c:formatCode>General</c:formatCode>
                <c:ptCount val="3"/>
                <c:pt idx="0">
                  <c:v>9.9316212079821629</c:v>
                </c:pt>
                <c:pt idx="1">
                  <c:v>19.982984328433869</c:v>
                </c:pt>
                <c:pt idx="2">
                  <c:v>30.061303514413591</c:v>
                </c:pt>
              </c:numCache>
            </c:numRef>
          </c:xVal>
          <c:yVal>
            <c:numRef>
              <c:f>'Run 4 Streamline Body'!$Q$4:$Q$6</c:f>
              <c:numCache>
                <c:formatCode>General</c:formatCode>
                <c:ptCount val="3"/>
                <c:pt idx="0">
                  <c:v>0.32958706537241939</c:v>
                </c:pt>
                <c:pt idx="1">
                  <c:v>0.30470425048130956</c:v>
                </c:pt>
                <c:pt idx="2">
                  <c:v>0.29101190003915822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CA-4E8D-B6CD-988E45C5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759072"/>
        <c:axId val="1329761952"/>
      </c:scatterChart>
      <c:valAx>
        <c:axId val="132975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61952"/>
        <c:crosses val="autoZero"/>
        <c:crossBetween val="midCat"/>
      </c:valAx>
      <c:valAx>
        <c:axId val="13297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59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Coefficient vs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Cube 0 deg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Cube 0'!$M$4:$M$6</c:f>
              <c:numCache>
                <c:formatCode>General</c:formatCode>
                <c:ptCount val="3"/>
                <c:pt idx="0">
                  <c:v>10.030619620155957</c:v>
                </c:pt>
                <c:pt idx="1">
                  <c:v>19.966271898967786</c:v>
                </c:pt>
                <c:pt idx="2">
                  <c:v>29.9695008442297</c:v>
                </c:pt>
              </c:numCache>
            </c:numRef>
          </c:xVal>
          <c:yVal>
            <c:numRef>
              <c:f>'Run 1 Cube 0'!$R$4:$R$6</c:f>
              <c:numCache>
                <c:formatCode>General</c:formatCode>
                <c:ptCount val="3"/>
                <c:pt idx="0">
                  <c:v>-4.2148433760554993E-2</c:v>
                </c:pt>
                <c:pt idx="1">
                  <c:v>-4.3186473462143729E-2</c:v>
                </c:pt>
                <c:pt idx="2">
                  <c:v>-6.0767368292380192E-2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38-4CD8-AD77-BE8EE2273B50}"/>
            </c:ext>
          </c:extLst>
        </c:ser>
        <c:ser>
          <c:idx val="1"/>
          <c:order val="1"/>
          <c:tx>
            <c:v>Cube 45 deg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Cube 45'!$M$4:$M$6</c:f>
              <c:numCache>
                <c:formatCode>General</c:formatCode>
                <c:ptCount val="3"/>
                <c:pt idx="0">
                  <c:v>9.9702840797532506</c:v>
                </c:pt>
                <c:pt idx="1">
                  <c:v>19.934324008383019</c:v>
                </c:pt>
                <c:pt idx="2">
                  <c:v>29.929590386178514</c:v>
                </c:pt>
              </c:numCache>
            </c:numRef>
          </c:xVal>
          <c:yVal>
            <c:numRef>
              <c:f>'Run 2 Cube 45'!$R$4:$R$6</c:f>
              <c:numCache>
                <c:formatCode>General</c:formatCode>
                <c:ptCount val="3"/>
                <c:pt idx="0">
                  <c:v>-7.4870407796345601E-2</c:v>
                </c:pt>
                <c:pt idx="1">
                  <c:v>-7.0898173194014064E-2</c:v>
                </c:pt>
                <c:pt idx="2">
                  <c:v>-6.7549213439737174E-2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38-4CD8-AD77-BE8EE2273B50}"/>
            </c:ext>
          </c:extLst>
        </c:ser>
        <c:ser>
          <c:idx val="2"/>
          <c:order val="2"/>
          <c:tx>
            <c:v>Rectanglar Cuboid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'Run 3 Rectangle'!$M$4:$M$6</c:f>
              <c:numCache>
                <c:formatCode>General</c:formatCode>
                <c:ptCount val="3"/>
                <c:pt idx="0">
                  <c:v>10.018532249841408</c:v>
                </c:pt>
                <c:pt idx="1">
                  <c:v>19.951595984426696</c:v>
                </c:pt>
                <c:pt idx="2">
                  <c:v>30.02680023965663</c:v>
                </c:pt>
              </c:numCache>
            </c:numRef>
          </c:xVal>
          <c:yVal>
            <c:numRef>
              <c:f>'Run 3 Rectangle'!$R$4:$R$6</c:f>
              <c:numCache>
                <c:formatCode>General</c:formatCode>
                <c:ptCount val="3"/>
                <c:pt idx="0">
                  <c:v>-6.1116191462252195E-2</c:v>
                </c:pt>
                <c:pt idx="1">
                  <c:v>-4.7311622297964255E-2</c:v>
                </c:pt>
                <c:pt idx="2">
                  <c:v>-4.6908653035607664E-2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38-4CD8-AD77-BE8EE2273B50}"/>
            </c:ext>
          </c:extLst>
        </c:ser>
        <c:ser>
          <c:idx val="3"/>
          <c:order val="3"/>
          <c:tx>
            <c:v>Streamline Body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'Run 4 Streamline Body'!$M$4:$M$6</c:f>
              <c:numCache>
                <c:formatCode>General</c:formatCode>
                <c:ptCount val="3"/>
                <c:pt idx="0">
                  <c:v>9.9316212079821629</c:v>
                </c:pt>
                <c:pt idx="1">
                  <c:v>19.982984328433869</c:v>
                </c:pt>
                <c:pt idx="2">
                  <c:v>30.061303514413591</c:v>
                </c:pt>
              </c:numCache>
            </c:numRef>
          </c:xVal>
          <c:yVal>
            <c:numRef>
              <c:f>'Run 4 Streamline Body'!$R$4:$R$6</c:f>
              <c:numCache>
                <c:formatCode>General</c:formatCode>
                <c:ptCount val="3"/>
                <c:pt idx="0">
                  <c:v>2.9285194009941742E-2</c:v>
                </c:pt>
                <c:pt idx="1">
                  <c:v>-1.1706254067096631E-2</c:v>
                </c:pt>
                <c:pt idx="2">
                  <c:v>-1.744810202227929E-2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38-4CD8-AD77-BE8EE2273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759072"/>
        <c:axId val="1329761952"/>
      </c:scatterChart>
      <c:valAx>
        <c:axId val="132975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61952"/>
        <c:crosses val="autoZero"/>
        <c:crossBetween val="midCat"/>
      </c:valAx>
      <c:valAx>
        <c:axId val="13297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59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Force vs Airflow 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Cube 0 deg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'Run 1 Cube 0'!$M$4:$M$6</c:f>
              <c:numCache>
                <c:formatCode>General</c:formatCode>
                <c:ptCount val="3"/>
                <c:pt idx="0">
                  <c:v>10.030619620155957</c:v>
                </c:pt>
                <c:pt idx="1">
                  <c:v>19.966271898967786</c:v>
                </c:pt>
                <c:pt idx="2">
                  <c:v>29.9695008442297</c:v>
                </c:pt>
              </c:numCache>
            </c:numRef>
          </c:xVal>
          <c:yVal>
            <c:numRef>
              <c:f>'Run 1 Cube 0'!$P$4:$P$6</c:f>
              <c:numCache>
                <c:formatCode>General</c:formatCode>
                <c:ptCount val="3"/>
                <c:pt idx="0">
                  <c:v>-5.4159451746734331E-2</c:v>
                </c:pt>
                <c:pt idx="1">
                  <c:v>-0.22079810335025768</c:v>
                </c:pt>
                <c:pt idx="2">
                  <c:v>-0.69849955652552675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36-4FBD-9FE4-38A5FADFD2EF}"/>
            </c:ext>
          </c:extLst>
        </c:ser>
        <c:ser>
          <c:idx val="1"/>
          <c:order val="1"/>
          <c:tx>
            <c:v>Cube 45 deg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'Run 2 Cube 45'!$M$4:$M$6</c:f>
              <c:numCache>
                <c:formatCode>General</c:formatCode>
                <c:ptCount val="3"/>
                <c:pt idx="0">
                  <c:v>9.9702840797532506</c:v>
                </c:pt>
                <c:pt idx="1">
                  <c:v>19.934324008383019</c:v>
                </c:pt>
                <c:pt idx="2">
                  <c:v>29.929590386178514</c:v>
                </c:pt>
              </c:numCache>
            </c:numRef>
          </c:xVal>
          <c:yVal>
            <c:numRef>
              <c:f>'Run 2 Cube 45'!$P$4:$P$6</c:f>
              <c:numCache>
                <c:formatCode>General</c:formatCode>
                <c:ptCount val="3"/>
                <c:pt idx="0">
                  <c:v>-0.13702900210146246</c:v>
                </c:pt>
                <c:pt idx="1">
                  <c:v>-0.51816772489526997</c:v>
                </c:pt>
                <c:pt idx="2">
                  <c:v>-1.1100214938587032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36-4FBD-9FE4-38A5FADFD2EF}"/>
            </c:ext>
          </c:extLst>
        </c:ser>
        <c:ser>
          <c:idx val="2"/>
          <c:order val="2"/>
          <c:tx>
            <c:v>Rectanglar Cuboid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'Run 3 Rectangle'!$M$4:$M$6</c:f>
              <c:numCache>
                <c:formatCode>General</c:formatCode>
                <c:ptCount val="3"/>
                <c:pt idx="0">
                  <c:v>10.018532249841408</c:v>
                </c:pt>
                <c:pt idx="1">
                  <c:v>19.951595984426696</c:v>
                </c:pt>
                <c:pt idx="2">
                  <c:v>30.02680023965663</c:v>
                </c:pt>
              </c:numCache>
            </c:numRef>
          </c:xVal>
          <c:yVal>
            <c:numRef>
              <c:f>'Run 3 Rectangle'!$P$4:$P$6</c:f>
              <c:numCache>
                <c:formatCode>General</c:formatCode>
                <c:ptCount val="3"/>
                <c:pt idx="0">
                  <c:v>-7.8303065130277044E-2</c:v>
                </c:pt>
                <c:pt idx="1">
                  <c:v>-0.24027441572939831</c:v>
                </c:pt>
                <c:pt idx="2">
                  <c:v>-0.53844119945241464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36-4FBD-9FE4-38A5FADFD2EF}"/>
            </c:ext>
          </c:extLst>
        </c:ser>
        <c:ser>
          <c:idx val="3"/>
          <c:order val="3"/>
          <c:tx>
            <c:v>Streamline Body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'Run 4 Streamline Body'!$M$4:$M$6</c:f>
              <c:numCache>
                <c:formatCode>General</c:formatCode>
                <c:ptCount val="3"/>
                <c:pt idx="0">
                  <c:v>9.9316212079821629</c:v>
                </c:pt>
                <c:pt idx="1">
                  <c:v>19.982984328433869</c:v>
                </c:pt>
                <c:pt idx="2">
                  <c:v>30.061303514413591</c:v>
                </c:pt>
              </c:numCache>
            </c:numRef>
          </c:xVal>
          <c:yVal>
            <c:numRef>
              <c:f>'Run 4 Streamline Body'!$P$4:$P$6</c:f>
              <c:numCache>
                <c:formatCode>General</c:formatCode>
                <c:ptCount val="3"/>
                <c:pt idx="0">
                  <c:v>3.6889522773544181E-2</c:v>
                </c:pt>
                <c:pt idx="1">
                  <c:v>-5.9678423939807157E-2</c:v>
                </c:pt>
                <c:pt idx="2">
                  <c:v>-0.20079139158225362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36-4FBD-9FE4-38A5FADFD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759072"/>
        <c:axId val="1329761952"/>
      </c:scatterChart>
      <c:valAx>
        <c:axId val="132975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Airflow 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61952"/>
        <c:crosses val="autoZero"/>
        <c:crossBetween val="midCat"/>
      </c:valAx>
      <c:valAx>
        <c:axId val="13297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Force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59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Friction Coefficient against Reynolds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'Wind Tunnel Datas'!$C$4:$C$10</c:f>
              <c:numCache>
                <c:formatCode>#,##0.0000</c:formatCode>
                <c:ptCount val="7"/>
                <c:pt idx="0">
                  <c:v>88311.724600424743</c:v>
                </c:pt>
                <c:pt idx="1">
                  <c:v>264935.17380127421</c:v>
                </c:pt>
                <c:pt idx="2">
                  <c:v>529870.34760254843</c:v>
                </c:pt>
                <c:pt idx="3">
                  <c:v>883117.24600424734</c:v>
                </c:pt>
                <c:pt idx="4">
                  <c:v>1766234.4920084947</c:v>
                </c:pt>
                <c:pt idx="5">
                  <c:v>2649351.7380127418</c:v>
                </c:pt>
                <c:pt idx="6">
                  <c:v>3532468.9840169894</c:v>
                </c:pt>
              </c:numCache>
            </c:numRef>
          </c:xVal>
          <c:yVal>
            <c:numRef>
              <c:f>'Wind Tunnel Datas'!$F$4:$F$10</c:f>
              <c:numCache>
                <c:formatCode>General</c:formatCode>
                <c:ptCount val="7"/>
                <c:pt idx="0">
                  <c:v>2.2343895748122666E-3</c:v>
                </c:pt>
                <c:pt idx="1">
                  <c:v>1.2900254224923558E-3</c:v>
                </c:pt>
                <c:pt idx="2">
                  <c:v>4.1079509326561302E-3</c:v>
                </c:pt>
                <c:pt idx="3">
                  <c:v>3.8188497264651285E-3</c:v>
                </c:pt>
                <c:pt idx="4">
                  <c:v>3.4588225675272156E-3</c:v>
                </c:pt>
                <c:pt idx="5">
                  <c:v>3.2641671497311152E-3</c:v>
                </c:pt>
                <c:pt idx="6">
                  <c:v>3.1327374498994419E-3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0-4CDA-BEA6-C62F2A805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846128"/>
        <c:axId val="1241848528"/>
      </c:scatterChart>
      <c:valAx>
        <c:axId val="124184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Reynolds Number (Re)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848528"/>
        <c:crosses val="autoZero"/>
        <c:crossBetween val="midCat"/>
      </c:valAx>
      <c:valAx>
        <c:axId val="12418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Friction Coefficient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84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11</xdr:row>
      <xdr:rowOff>71435</xdr:rowOff>
    </xdr:from>
    <xdr:to>
      <xdr:col>8</xdr:col>
      <xdr:colOff>390525</xdr:colOff>
      <xdr:row>39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8E3C69-2072-335E-63BB-A3CF7AE84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7</xdr:row>
      <xdr:rowOff>33337</xdr:rowOff>
    </xdr:from>
    <xdr:to>
      <xdr:col>15</xdr:col>
      <xdr:colOff>476250</xdr:colOff>
      <xdr:row>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9802B-2BC1-8F25-83F7-8A5997B6E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0</xdr:rowOff>
    </xdr:from>
    <xdr:to>
      <xdr:col>15</xdr:col>
      <xdr:colOff>885825</xdr:colOff>
      <xdr:row>23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A1FEAE-B80A-4AAE-BF2F-F42A806D1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16</xdr:col>
      <xdr:colOff>85725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77232F-0461-4CCA-BD75-252B64B04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16</xdr:col>
      <xdr:colOff>533400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509E1-E6A1-4AAC-BB20-D701A4937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185737</xdr:rowOff>
    </xdr:from>
    <xdr:to>
      <xdr:col>13</xdr:col>
      <xdr:colOff>590550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D7289-B919-7BB6-DB2A-2127FFABE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2</xdr:row>
      <xdr:rowOff>0</xdr:rowOff>
    </xdr:from>
    <xdr:to>
      <xdr:col>26</xdr:col>
      <xdr:colOff>9525</xdr:colOff>
      <xdr:row>23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94630E-27E2-47D8-8F72-AC982693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25</xdr:row>
      <xdr:rowOff>9525</xdr:rowOff>
    </xdr:from>
    <xdr:to>
      <xdr:col>25</xdr:col>
      <xdr:colOff>600075</xdr:colOff>
      <xdr:row>47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1E9469-B799-4A92-AB81-92AC77BC8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24</xdr:row>
      <xdr:rowOff>180975</xdr:rowOff>
    </xdr:from>
    <xdr:to>
      <xdr:col>14</xdr:col>
      <xdr:colOff>0</xdr:colOff>
      <xdr:row>47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93DDCB-0875-4C9D-8E65-9F77B8FD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57150</xdr:colOff>
      <xdr:row>1</xdr:row>
      <xdr:rowOff>180975</xdr:rowOff>
    </xdr:from>
    <xdr:to>
      <xdr:col>37</xdr:col>
      <xdr:colOff>561975</xdr:colOff>
      <xdr:row>30</xdr:row>
      <xdr:rowOff>52390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DC5D94-3306-4F1F-9F31-CAE101F18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DEA5-581E-46D0-B9F4-67C5E08FF9FB}">
  <sheetPr codeName="Sheet1"/>
  <dimension ref="B3:J38"/>
  <sheetViews>
    <sheetView workbookViewId="0">
      <selection activeCell="B12" sqref="B12"/>
    </sheetView>
  </sheetViews>
  <sheetFormatPr defaultRowHeight="15" x14ac:dyDescent="0.25"/>
  <cols>
    <col min="2" max="2" width="34.42578125" customWidth="1"/>
    <col min="3" max="4" width="19.140625" customWidth="1"/>
    <col min="5" max="5" width="28.28515625" customWidth="1"/>
    <col min="6" max="6" width="30" customWidth="1"/>
    <col min="9" max="9" width="20.140625" customWidth="1"/>
    <col min="10" max="10" width="21.140625" customWidth="1"/>
  </cols>
  <sheetData>
    <row r="3" spans="2:10" x14ac:dyDescent="0.25">
      <c r="C3" t="s">
        <v>0</v>
      </c>
      <c r="D3" t="s">
        <v>2</v>
      </c>
      <c r="E3" t="s">
        <v>1</v>
      </c>
      <c r="F3" t="s">
        <v>3</v>
      </c>
    </row>
    <row r="4" spans="2:10" x14ac:dyDescent="0.25">
      <c r="B4">
        <v>1</v>
      </c>
      <c r="C4" s="2">
        <f>SUM((B4*J4*J6)/J5)</f>
        <v>88311.724600424743</v>
      </c>
      <c r="D4" t="s">
        <v>6</v>
      </c>
      <c r="E4" s="3">
        <f>SUM(((J7*J6)/C4^0.5))</f>
        <v>2.1704537285450479E-2</v>
      </c>
      <c r="F4">
        <f>SUM(J9/C4^0.5)</f>
        <v>2.2343895748122666E-3</v>
      </c>
      <c r="I4" t="s">
        <v>4</v>
      </c>
      <c r="J4">
        <v>1.2250000000000001</v>
      </c>
    </row>
    <row r="5" spans="2:10" x14ac:dyDescent="0.25">
      <c r="B5">
        <v>3</v>
      </c>
      <c r="C5" s="2">
        <f>SUM((B5*J4*J6)/J5)</f>
        <v>264935.17380127421</v>
      </c>
      <c r="D5" t="s">
        <v>6</v>
      </c>
      <c r="E5" s="3">
        <f>SUM(((J6*J7)/C5^0.5))</f>
        <v>1.2531120444391105E-2</v>
      </c>
      <c r="F5">
        <f>SUM(J9/C5^0.5)</f>
        <v>1.2900254224923558E-3</v>
      </c>
      <c r="I5" t="s">
        <v>5</v>
      </c>
      <c r="J5" s="1">
        <v>1.7893999999999998E-5</v>
      </c>
    </row>
    <row r="6" spans="2:10" x14ac:dyDescent="0.25">
      <c r="B6">
        <v>6</v>
      </c>
      <c r="C6" s="2">
        <f>SUM((B6*J4*J6)/J5)</f>
        <v>529870.34760254843</v>
      </c>
      <c r="D6" t="s">
        <v>7</v>
      </c>
      <c r="E6">
        <f>SUM((J8*J6)/(C6^(1/7)))</f>
        <v>3.1403002685193526E-2</v>
      </c>
      <c r="F6">
        <f>SUM(J10/C6^(1/7))</f>
        <v>4.1079509326561302E-3</v>
      </c>
      <c r="I6" t="s">
        <v>51</v>
      </c>
      <c r="J6">
        <v>1.29</v>
      </c>
    </row>
    <row r="7" spans="2:10" x14ac:dyDescent="0.25">
      <c r="B7">
        <v>10</v>
      </c>
      <c r="C7" s="2">
        <f>SUM((B7*J4*J6)/J5)</f>
        <v>883117.24600424734</v>
      </c>
      <c r="D7" t="s">
        <v>7</v>
      </c>
      <c r="E7">
        <f>SUM((J6*J8)/(C7^(1/7)))</f>
        <v>2.9192984575644541E-2</v>
      </c>
      <c r="F7">
        <f>SUM(J10/C7^(1/7))</f>
        <v>3.8188497264651285E-3</v>
      </c>
      <c r="I7" t="s">
        <v>8</v>
      </c>
      <c r="J7">
        <v>5</v>
      </c>
    </row>
    <row r="8" spans="2:10" x14ac:dyDescent="0.25">
      <c r="B8">
        <v>20</v>
      </c>
      <c r="C8" s="2">
        <f>SUM((B8*J4*J6)/J5)</f>
        <v>1766234.4920084947</v>
      </c>
      <c r="D8" t="s">
        <v>7</v>
      </c>
      <c r="E8">
        <f>SUM((J6*J8)/(C8^(1/7)))</f>
        <v>2.6440776960652494E-2</v>
      </c>
      <c r="F8">
        <f>SUM(J10/C8^(1/7))</f>
        <v>3.4588225675272156E-3</v>
      </c>
      <c r="I8" t="s">
        <v>9</v>
      </c>
      <c r="J8">
        <v>0.16</v>
      </c>
    </row>
    <row r="9" spans="2:10" x14ac:dyDescent="0.25">
      <c r="B9">
        <v>30</v>
      </c>
      <c r="C9" s="2">
        <f>SUM((B9*J4*J6)/J5)</f>
        <v>2649351.7380127418</v>
      </c>
      <c r="D9" t="s">
        <v>7</v>
      </c>
      <c r="E9">
        <f>SUM((J6*J8)/(C9^(1/7)))</f>
        <v>2.4952744433500082E-2</v>
      </c>
      <c r="F9">
        <f>SUM(J10/C9^(1/7))</f>
        <v>3.2641671497311152E-3</v>
      </c>
      <c r="I9" t="s">
        <v>10</v>
      </c>
      <c r="J9">
        <v>0.66400000000000003</v>
      </c>
    </row>
    <row r="10" spans="2:10" x14ac:dyDescent="0.25">
      <c r="B10">
        <v>40</v>
      </c>
      <c r="C10" s="2">
        <f>SUM((B10*J4*J6)/J5)</f>
        <v>3532468.9840169894</v>
      </c>
      <c r="D10" t="s">
        <v>7</v>
      </c>
      <c r="E10">
        <f>SUM((J6*J8)/(C10^(1/7)))</f>
        <v>2.3948037394786847E-2</v>
      </c>
      <c r="F10">
        <f>SUM(J10/C10^(1/7))</f>
        <v>3.1327374498994419E-3</v>
      </c>
      <c r="I10" t="s">
        <v>11</v>
      </c>
      <c r="J10">
        <v>2.7E-2</v>
      </c>
    </row>
    <row r="13" spans="2:10" x14ac:dyDescent="0.25">
      <c r="C13" s="4"/>
    </row>
    <row r="14" spans="2:10" x14ac:dyDescent="0.25">
      <c r="C14" s="4"/>
    </row>
    <row r="15" spans="2:10" x14ac:dyDescent="0.25">
      <c r="C15" s="4"/>
    </row>
    <row r="16" spans="2:10" x14ac:dyDescent="0.25">
      <c r="C16" s="4"/>
    </row>
    <row r="17" spans="2:6" x14ac:dyDescent="0.25">
      <c r="C17" s="4"/>
    </row>
    <row r="18" spans="2:6" x14ac:dyDescent="0.25">
      <c r="C18" s="4"/>
    </row>
    <row r="19" spans="2:6" x14ac:dyDescent="0.25">
      <c r="B19" s="7"/>
      <c r="C19" s="8"/>
      <c r="D19" s="7"/>
      <c r="E19" s="7"/>
      <c r="F19" s="7"/>
    </row>
    <row r="20" spans="2:6" x14ac:dyDescent="0.25">
      <c r="B20" s="7"/>
      <c r="C20" s="8"/>
      <c r="D20" s="9"/>
      <c r="E20" s="9"/>
      <c r="F20" s="9"/>
    </row>
    <row r="21" spans="2:6" x14ac:dyDescent="0.25">
      <c r="C21" s="4"/>
    </row>
    <row r="22" spans="2:6" x14ac:dyDescent="0.25">
      <c r="C22" s="4"/>
    </row>
    <row r="23" spans="2:6" x14ac:dyDescent="0.25">
      <c r="C23" s="4"/>
    </row>
    <row r="24" spans="2:6" x14ac:dyDescent="0.25">
      <c r="C24" s="4"/>
    </row>
    <row r="25" spans="2:6" x14ac:dyDescent="0.25">
      <c r="C25" s="4"/>
    </row>
    <row r="26" spans="2:6" x14ac:dyDescent="0.25">
      <c r="C26" s="4"/>
    </row>
    <row r="27" spans="2:6" x14ac:dyDescent="0.25">
      <c r="B27" s="7"/>
      <c r="C27" s="8"/>
      <c r="D27" s="7"/>
      <c r="E27" s="7"/>
      <c r="F27" s="7"/>
    </row>
    <row r="28" spans="2:6" x14ac:dyDescent="0.25">
      <c r="B28" s="7"/>
      <c r="C28" s="8"/>
      <c r="D28" s="7"/>
      <c r="E28" s="7"/>
      <c r="F28" s="7"/>
    </row>
    <row r="29" spans="2:6" x14ac:dyDescent="0.25">
      <c r="B29" s="7"/>
      <c r="C29" s="8"/>
      <c r="D29" s="7"/>
      <c r="E29" s="7"/>
      <c r="F29" s="7"/>
    </row>
    <row r="30" spans="2:6" x14ac:dyDescent="0.25">
      <c r="C30" s="4"/>
    </row>
    <row r="31" spans="2:6" x14ac:dyDescent="0.25">
      <c r="C31" s="4"/>
    </row>
    <row r="32" spans="2:6" x14ac:dyDescent="0.25">
      <c r="C32" s="4"/>
    </row>
    <row r="33" spans="2:6" x14ac:dyDescent="0.25">
      <c r="C33" s="4"/>
    </row>
    <row r="34" spans="2:6" x14ac:dyDescent="0.25">
      <c r="C34" s="4"/>
    </row>
    <row r="35" spans="2:6" x14ac:dyDescent="0.25">
      <c r="C35" s="4"/>
    </row>
    <row r="36" spans="2:6" x14ac:dyDescent="0.25">
      <c r="B36" s="7"/>
      <c r="C36" s="8"/>
      <c r="D36" s="7"/>
      <c r="E36" s="7"/>
      <c r="F36" s="7"/>
    </row>
    <row r="37" spans="2:6" x14ac:dyDescent="0.25">
      <c r="B37" s="7"/>
      <c r="C37" s="8"/>
      <c r="D37" s="7"/>
      <c r="E37" s="7"/>
      <c r="F37" s="7"/>
    </row>
    <row r="38" spans="2:6" x14ac:dyDescent="0.25">
      <c r="B38" s="7"/>
      <c r="C38" s="8"/>
      <c r="D38" s="7"/>
      <c r="E38" s="7"/>
      <c r="F3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7C49-3AC6-4606-B6F8-272BCEAE964E}">
  <sheetPr codeName="Sheet2"/>
  <dimension ref="B2:S27"/>
  <sheetViews>
    <sheetView workbookViewId="0">
      <selection activeCell="P32" sqref="P32"/>
    </sheetView>
  </sheetViews>
  <sheetFormatPr defaultRowHeight="15" x14ac:dyDescent="0.25"/>
  <cols>
    <col min="2" max="2" width="34.7109375" customWidth="1"/>
    <col min="4" max="4" width="12.7109375" customWidth="1"/>
    <col min="5" max="5" width="13.5703125" customWidth="1"/>
    <col min="6" max="6" width="14.140625" customWidth="1"/>
    <col min="8" max="8" width="17.5703125" customWidth="1"/>
    <col min="9" max="9" width="16.85546875" customWidth="1"/>
    <col min="12" max="12" width="10.42578125" customWidth="1"/>
    <col min="13" max="13" width="13.7109375" customWidth="1"/>
    <col min="14" max="14" width="12.85546875" customWidth="1"/>
    <col min="15" max="15" width="14.140625" customWidth="1"/>
    <col min="16" max="16" width="15.85546875" customWidth="1"/>
    <col min="17" max="17" width="16.85546875" customWidth="1"/>
    <col min="18" max="18" width="16.7109375" customWidth="1"/>
  </cols>
  <sheetData>
    <row r="2" spans="2:19" x14ac:dyDescent="0.25">
      <c r="B2" t="s">
        <v>12</v>
      </c>
      <c r="C2" s="4"/>
      <c r="D2">
        <v>1</v>
      </c>
      <c r="E2">
        <v>1</v>
      </c>
      <c r="F2">
        <v>1</v>
      </c>
      <c r="I2" t="s">
        <v>42</v>
      </c>
      <c r="J2">
        <v>2.2349999999999998E-2</v>
      </c>
    </row>
    <row r="3" spans="2:19" x14ac:dyDescent="0.25">
      <c r="B3" t="s">
        <v>13</v>
      </c>
      <c r="C3" s="4"/>
      <c r="D3">
        <v>325.32</v>
      </c>
      <c r="E3">
        <v>325.32</v>
      </c>
      <c r="F3">
        <v>325.32</v>
      </c>
      <c r="L3" s="12" t="s">
        <v>46</v>
      </c>
      <c r="M3" s="12" t="s">
        <v>47</v>
      </c>
      <c r="N3" s="12" t="s">
        <v>43</v>
      </c>
      <c r="O3" s="12" t="s">
        <v>44</v>
      </c>
      <c r="P3" s="12" t="s">
        <v>45</v>
      </c>
      <c r="Q3" s="12" t="s">
        <v>48</v>
      </c>
      <c r="R3" s="12" t="s">
        <v>49</v>
      </c>
    </row>
    <row r="4" spans="2:19" x14ac:dyDescent="0.25">
      <c r="B4" t="s">
        <v>14</v>
      </c>
      <c r="C4" s="4" t="s">
        <v>15</v>
      </c>
      <c r="D4">
        <v>85.6</v>
      </c>
      <c r="E4">
        <v>134.4</v>
      </c>
      <c r="F4">
        <v>183.6</v>
      </c>
      <c r="I4" t="s">
        <v>50</v>
      </c>
      <c r="J4">
        <f>SUM(0.5*$N$4*$M$4^2)</f>
        <v>57.493042390574665</v>
      </c>
      <c r="L4" s="13">
        <v>10</v>
      </c>
      <c r="M4">
        <f>SUM($D$8)</f>
        <v>10.030619620155957</v>
      </c>
      <c r="N4">
        <v>1.1428513977422032</v>
      </c>
      <c r="O4">
        <f>SUM($D$16)</f>
        <v>1.6433834121228335</v>
      </c>
      <c r="P4">
        <f>SUM($D$18)</f>
        <v>-5.4159451746734331E-2</v>
      </c>
      <c r="Q4">
        <f>SUM(($O$4/($J$2*$J$4)))</f>
        <v>1.2789279554188</v>
      </c>
      <c r="R4">
        <f>SUM(($P$4/($J$2*$J$4)))</f>
        <v>-4.2148433760554993E-2</v>
      </c>
    </row>
    <row r="5" spans="2:19" x14ac:dyDescent="0.25">
      <c r="B5" t="s">
        <v>12</v>
      </c>
      <c r="C5" s="4"/>
      <c r="D5">
        <v>1</v>
      </c>
      <c r="E5">
        <v>1</v>
      </c>
      <c r="F5">
        <v>1</v>
      </c>
      <c r="J5">
        <f>SUM(0.5*$N$5*$M$5^2)</f>
        <v>228.75472289364575</v>
      </c>
      <c r="L5" s="12">
        <v>20</v>
      </c>
      <c r="M5">
        <f>SUM($E$8)</f>
        <v>19.966271898967786</v>
      </c>
      <c r="N5">
        <v>1.1476411262058177</v>
      </c>
      <c r="O5">
        <f>SUM($E$16)</f>
        <v>6.4811378497942185</v>
      </c>
      <c r="P5">
        <f>SUM($E$18)</f>
        <v>-0.22079810335025768</v>
      </c>
      <c r="Q5">
        <f>SUM(($O$5/($J$2*$J$5)))</f>
        <v>1.2676625546489624</v>
      </c>
      <c r="R5">
        <f>SUM(($P$5/($J$2*$J$5)))</f>
        <v>-4.3186473462143729E-2</v>
      </c>
    </row>
    <row r="6" spans="2:19" x14ac:dyDescent="0.25">
      <c r="B6" t="s">
        <v>13</v>
      </c>
      <c r="C6" s="4"/>
      <c r="D6">
        <v>325.32</v>
      </c>
      <c r="E6">
        <v>325.32</v>
      </c>
      <c r="F6">
        <v>325.32</v>
      </c>
      <c r="J6">
        <f>SUM(0.5*$N$6*$M$6^2)</f>
        <v>514.30195936660675</v>
      </c>
      <c r="L6" s="12">
        <v>30</v>
      </c>
      <c r="M6">
        <f>SUM($F$8)</f>
        <v>29.9695008442297</v>
      </c>
      <c r="N6">
        <v>1.1452206101750912</v>
      </c>
      <c r="O6">
        <f>SUM($F$16)</f>
        <v>14.414477996761752</v>
      </c>
      <c r="P6">
        <f>SUM($F$18)</f>
        <v>-0.69849955652552675</v>
      </c>
      <c r="Q6">
        <f>SUM(($O$6/($J$2*$J$6)))</f>
        <v>1.2540163912611175</v>
      </c>
      <c r="R6">
        <f>SUM(($P$6/($J$2*$J$6)))</f>
        <v>-6.0767368292380192E-2</v>
      </c>
    </row>
    <row r="7" spans="2:19" x14ac:dyDescent="0.25">
      <c r="B7" t="s">
        <v>16</v>
      </c>
      <c r="C7" s="4" t="s">
        <v>15</v>
      </c>
      <c r="D7">
        <v>93.9</v>
      </c>
      <c r="E7">
        <v>142.30000000000001</v>
      </c>
      <c r="F7">
        <v>192.2</v>
      </c>
      <c r="N7" s="3"/>
    </row>
    <row r="8" spans="2:19" x14ac:dyDescent="0.25">
      <c r="B8" s="5" t="s">
        <v>17</v>
      </c>
      <c r="C8" s="6" t="s">
        <v>18</v>
      </c>
      <c r="D8" s="5">
        <v>10.030619620155957</v>
      </c>
      <c r="E8" s="5">
        <v>19.966271898967786</v>
      </c>
      <c r="F8" s="5">
        <v>29.9695008442297</v>
      </c>
      <c r="N8" s="3"/>
      <c r="S8" s="1"/>
    </row>
    <row r="9" spans="2:19" x14ac:dyDescent="0.25">
      <c r="B9" s="7" t="s">
        <v>19</v>
      </c>
      <c r="C9" s="8" t="s">
        <v>18</v>
      </c>
      <c r="D9" s="9">
        <v>6.9622321449842207E-6</v>
      </c>
      <c r="E9" s="9">
        <v>6.9622321449842224E-6</v>
      </c>
      <c r="F9" s="9">
        <v>6.962232144984219E-6</v>
      </c>
      <c r="L9" s="2"/>
    </row>
    <row r="10" spans="2:19" x14ac:dyDescent="0.25">
      <c r="B10" t="s">
        <v>20</v>
      </c>
      <c r="C10" s="4" t="s">
        <v>18</v>
      </c>
      <c r="D10">
        <v>0</v>
      </c>
      <c r="E10">
        <v>0</v>
      </c>
      <c r="F10">
        <v>0</v>
      </c>
      <c r="L10" s="2"/>
    </row>
    <row r="11" spans="2:19" x14ac:dyDescent="0.25">
      <c r="B11" t="s">
        <v>21</v>
      </c>
      <c r="C11" s="4" t="s">
        <v>18</v>
      </c>
      <c r="D11">
        <v>1.1428513977422032</v>
      </c>
      <c r="E11">
        <v>1.1476411262058177</v>
      </c>
      <c r="F11">
        <v>1.1452206101750912</v>
      </c>
      <c r="H11" t="s">
        <v>41</v>
      </c>
      <c r="I11" cm="1">
        <f t="array" ref="I11">SUM(D11:F11/3)</f>
        <v>1.1452377113743706</v>
      </c>
      <c r="L11" s="2"/>
    </row>
    <row r="12" spans="2:19" x14ac:dyDescent="0.25">
      <c r="B12" t="s">
        <v>22</v>
      </c>
      <c r="C12" s="4" t="s">
        <v>18</v>
      </c>
      <c r="D12">
        <v>975.66587304494476</v>
      </c>
      <c r="E12">
        <v>975.68180826645903</v>
      </c>
      <c r="F12">
        <v>975.68354856136227</v>
      </c>
      <c r="H12" t="s">
        <v>39</v>
      </c>
      <c r="I12" cm="1">
        <f t="array" ref="I12">SUM(D12:F12/3)</f>
        <v>975.67707662425528</v>
      </c>
      <c r="L12" s="2"/>
    </row>
    <row r="13" spans="2:19" x14ac:dyDescent="0.25">
      <c r="B13" t="s">
        <v>23</v>
      </c>
      <c r="C13" s="4" t="s">
        <v>18</v>
      </c>
      <c r="D13">
        <v>24.258815032315511</v>
      </c>
      <c r="E13">
        <v>23.022382634802682</v>
      </c>
      <c r="F13">
        <v>23.648922996742783</v>
      </c>
      <c r="H13" t="s">
        <v>40</v>
      </c>
      <c r="I13" cm="1">
        <f t="array" ref="I13">SUM(D13:F13/3)</f>
        <v>23.643373554620325</v>
      </c>
      <c r="L13" s="2"/>
    </row>
    <row r="14" spans="2:19" x14ac:dyDescent="0.25">
      <c r="B14" t="s">
        <v>24</v>
      </c>
      <c r="C14" s="4" t="s">
        <v>18</v>
      </c>
      <c r="D14">
        <v>23.980117416956318</v>
      </c>
      <c r="E14">
        <v>23.954009654250285</v>
      </c>
      <c r="F14">
        <v>23.921567471360049</v>
      </c>
      <c r="H14" t="s">
        <v>38</v>
      </c>
      <c r="I14" cm="1">
        <f t="array" ref="I14">SUM(D14:F14/3)</f>
        <v>23.951898180855551</v>
      </c>
    </row>
    <row r="15" spans="2:19" x14ac:dyDescent="0.25">
      <c r="B15" t="s">
        <v>25</v>
      </c>
      <c r="C15" s="4" t="s">
        <v>18</v>
      </c>
      <c r="D15">
        <v>1.8470352601292627E-5</v>
      </c>
      <c r="E15">
        <v>1.8420895305392103E-5</v>
      </c>
      <c r="F15">
        <v>1.8445956919869712E-5</v>
      </c>
    </row>
    <row r="16" spans="2:19" x14ac:dyDescent="0.25">
      <c r="B16" s="5" t="s">
        <v>26</v>
      </c>
      <c r="C16" s="6" t="s">
        <v>18</v>
      </c>
      <c r="D16" s="5">
        <v>1.6433834121228335</v>
      </c>
      <c r="E16" s="5">
        <v>6.4811378497942185</v>
      </c>
      <c r="F16" s="5">
        <v>14.414477996761752</v>
      </c>
      <c r="L16" s="4"/>
    </row>
    <row r="17" spans="2:6" x14ac:dyDescent="0.25">
      <c r="B17" s="5" t="s">
        <v>27</v>
      </c>
      <c r="C17" s="6" t="s">
        <v>18</v>
      </c>
      <c r="D17" s="5">
        <v>6.4313877056289331E-3</v>
      </c>
      <c r="E17" s="5">
        <v>4.5664607297247186E-3</v>
      </c>
      <c r="F17" s="5">
        <v>9.2165853388255489E-2</v>
      </c>
    </row>
    <row r="18" spans="2:6" x14ac:dyDescent="0.25">
      <c r="B18" s="5" t="s">
        <v>28</v>
      </c>
      <c r="C18" s="6" t="s">
        <v>18</v>
      </c>
      <c r="D18" s="5">
        <v>-5.4159451746734331E-2</v>
      </c>
      <c r="E18" s="5">
        <v>-0.22079810335025768</v>
      </c>
      <c r="F18" s="5">
        <v>-0.69849955652552675</v>
      </c>
    </row>
    <row r="19" spans="2:6" x14ac:dyDescent="0.25">
      <c r="B19" t="s">
        <v>29</v>
      </c>
      <c r="C19" s="4" t="s">
        <v>18</v>
      </c>
      <c r="D19">
        <v>-2.177730518757225E-2</v>
      </c>
      <c r="E19">
        <v>-5.8074777930436784E-2</v>
      </c>
      <c r="F19">
        <v>-3.8612650431401802E-2</v>
      </c>
    </row>
    <row r="20" spans="2:6" x14ac:dyDescent="0.25">
      <c r="B20" t="s">
        <v>30</v>
      </c>
      <c r="C20" s="4" t="s">
        <v>18</v>
      </c>
      <c r="D20">
        <v>-1.6606959525293601</v>
      </c>
      <c r="E20">
        <v>-6.5689753884369448</v>
      </c>
      <c r="F20">
        <v>-14.668726308084361</v>
      </c>
    </row>
    <row r="21" spans="2:6" x14ac:dyDescent="0.25">
      <c r="B21" t="s">
        <v>31</v>
      </c>
      <c r="C21" s="4" t="s">
        <v>18</v>
      </c>
      <c r="D21">
        <v>2.2441091909981112E-3</v>
      </c>
      <c r="E21">
        <v>1.3732769506752901E-2</v>
      </c>
      <c r="F21">
        <v>3.8700504473927255E-2</v>
      </c>
    </row>
    <row r="22" spans="2:6" x14ac:dyDescent="0.25">
      <c r="B22" t="s">
        <v>32</v>
      </c>
      <c r="C22" s="4" t="s">
        <v>18</v>
      </c>
      <c r="D22">
        <v>1.6433834113413188</v>
      </c>
      <c r="E22">
        <v>6.4811378492392775</v>
      </c>
      <c r="F22">
        <v>14.414477985562206</v>
      </c>
    </row>
    <row r="23" spans="2:6" x14ac:dyDescent="0.25">
      <c r="B23" t="s">
        <v>33</v>
      </c>
      <c r="C23" s="4" t="s">
        <v>18</v>
      </c>
      <c r="D23">
        <v>6.4315873995141257E-3</v>
      </c>
      <c r="E23">
        <v>4.5672482778941559E-3</v>
      </c>
      <c r="F23">
        <v>9.2167604947321013E-2</v>
      </c>
    </row>
    <row r="24" spans="2:6" x14ac:dyDescent="0.25">
      <c r="B24" t="s">
        <v>34</v>
      </c>
      <c r="C24" s="4" t="s">
        <v>18</v>
      </c>
      <c r="D24">
        <v>-5.4159451746734331E-2</v>
      </c>
      <c r="E24">
        <v>-0.22079810335025768</v>
      </c>
      <c r="F24">
        <v>-0.69849955652552675</v>
      </c>
    </row>
    <row r="25" spans="2:6" x14ac:dyDescent="0.25">
      <c r="B25" s="5" t="s">
        <v>35</v>
      </c>
      <c r="C25" s="6" t="s">
        <v>18</v>
      </c>
      <c r="D25" s="5">
        <v>-2.7565532049535723E-2</v>
      </c>
      <c r="E25" s="5">
        <v>-6.218450315889202E-2</v>
      </c>
      <c r="F25" s="5">
        <v>-0.12156171243022693</v>
      </c>
    </row>
    <row r="26" spans="2:6" x14ac:dyDescent="0.25">
      <c r="B26" s="5" t="s">
        <v>36</v>
      </c>
      <c r="C26" s="6" t="s">
        <v>18</v>
      </c>
      <c r="D26" s="5">
        <v>-0.18165088496840609</v>
      </c>
      <c r="E26" s="5">
        <v>-0.73595133117843259</v>
      </c>
      <c r="F26" s="5">
        <v>-1.6956961257702341</v>
      </c>
    </row>
    <row r="27" spans="2:6" x14ac:dyDescent="0.25">
      <c r="B27" s="5" t="s">
        <v>37</v>
      </c>
      <c r="C27" s="6" t="s">
        <v>18</v>
      </c>
      <c r="D27" s="5">
        <v>2.2441091909981112E-3</v>
      </c>
      <c r="E27" s="5">
        <v>1.3732769506752901E-2</v>
      </c>
      <c r="F27" s="5">
        <v>3.8700504473927255E-2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5710-B528-4280-B194-A16845C53ADE}">
  <sheetPr codeName="Sheet3"/>
  <dimension ref="B2:R28"/>
  <sheetViews>
    <sheetView workbookViewId="0">
      <selection activeCell="L3" sqref="L3:R3"/>
    </sheetView>
  </sheetViews>
  <sheetFormatPr defaultRowHeight="15" x14ac:dyDescent="0.25"/>
  <cols>
    <col min="2" max="2" width="36.28515625" customWidth="1"/>
    <col min="3" max="3" width="7" customWidth="1"/>
    <col min="4" max="4" width="14.7109375" customWidth="1"/>
    <col min="5" max="5" width="14" customWidth="1"/>
    <col min="6" max="6" width="14.140625" customWidth="1"/>
    <col min="8" max="8" width="21" customWidth="1"/>
    <col min="9" max="9" width="16.42578125" customWidth="1"/>
    <col min="12" max="12" width="10.42578125" customWidth="1"/>
    <col min="13" max="13" width="14.85546875" customWidth="1"/>
    <col min="14" max="14" width="14.5703125" customWidth="1"/>
    <col min="15" max="15" width="14" customWidth="1"/>
    <col min="16" max="16" width="14.85546875" customWidth="1"/>
    <col min="17" max="17" width="16.85546875" customWidth="1"/>
    <col min="18" max="18" width="18.42578125" customWidth="1"/>
  </cols>
  <sheetData>
    <row r="2" spans="2:18" x14ac:dyDescent="0.25">
      <c r="I2" t="s">
        <v>42</v>
      </c>
      <c r="J2">
        <v>3.2199999999999999E-2</v>
      </c>
    </row>
    <row r="3" spans="2:18" x14ac:dyDescent="0.25">
      <c r="B3" t="s">
        <v>12</v>
      </c>
      <c r="C3" s="4"/>
      <c r="D3">
        <v>1</v>
      </c>
      <c r="E3">
        <v>1</v>
      </c>
      <c r="F3">
        <v>1</v>
      </c>
      <c r="L3" s="12" t="s">
        <v>46</v>
      </c>
      <c r="M3" s="12" t="s">
        <v>47</v>
      </c>
      <c r="N3" s="12" t="s">
        <v>43</v>
      </c>
      <c r="O3" s="12" t="s">
        <v>44</v>
      </c>
      <c r="P3" s="12" t="s">
        <v>45</v>
      </c>
      <c r="Q3" s="12" t="s">
        <v>48</v>
      </c>
      <c r="R3" s="12" t="s">
        <v>49</v>
      </c>
    </row>
    <row r="4" spans="2:18" x14ac:dyDescent="0.25">
      <c r="B4" t="s">
        <v>13</v>
      </c>
      <c r="C4" s="4"/>
      <c r="D4">
        <v>612.36</v>
      </c>
      <c r="E4">
        <v>612.36</v>
      </c>
      <c r="F4">
        <v>612.36</v>
      </c>
      <c r="I4" t="s">
        <v>50</v>
      </c>
      <c r="J4">
        <f>SUM(0.5*$N$4*$M$4^2)</f>
        <v>56.838999502306734</v>
      </c>
      <c r="L4" s="13">
        <v>10</v>
      </c>
      <c r="M4">
        <f>SUM($D$9)</f>
        <v>9.9702840797532506</v>
      </c>
      <c r="N4">
        <f>SUM($D$12)</f>
        <v>1.1435663170396344</v>
      </c>
      <c r="O4">
        <f>SUM($D$17)</f>
        <v>1.7084390998209813</v>
      </c>
      <c r="P4">
        <f>SUM($D$19)</f>
        <v>-0.13702900210146246</v>
      </c>
      <c r="Q4">
        <f>SUM(($O$4/($J$2*$J$4)))</f>
        <v>0.93346320951901096</v>
      </c>
      <c r="R4">
        <f>SUM(($P$4/($J$2*$J$4)))</f>
        <v>-7.4870407796345601E-2</v>
      </c>
    </row>
    <row r="5" spans="2:18" x14ac:dyDescent="0.25">
      <c r="B5" t="s">
        <v>14</v>
      </c>
      <c r="C5" s="4" t="s">
        <v>15</v>
      </c>
      <c r="D5">
        <v>75.7</v>
      </c>
      <c r="E5">
        <v>121.5</v>
      </c>
      <c r="F5">
        <v>165.4</v>
      </c>
      <c r="J5">
        <f>SUM(0.5*$N$5*$M$5^2)</f>
        <v>226.97574062143798</v>
      </c>
      <c r="L5" s="12">
        <v>20</v>
      </c>
      <c r="M5">
        <f>SUM($E$9)</f>
        <v>19.934324008383019</v>
      </c>
      <c r="N5">
        <f>SUM($E$12)</f>
        <v>1.1423690062821557</v>
      </c>
      <c r="O5">
        <f>SUM($E$17)</f>
        <v>6.930658323192314</v>
      </c>
      <c r="P5">
        <f>SUM($E$19)</f>
        <v>-0.51816772489526997</v>
      </c>
      <c r="Q5">
        <f>SUM(($O$5/($J$2*$J$5)))</f>
        <v>0.94828564292679118</v>
      </c>
      <c r="R5">
        <f>SUM(($P$5/($J$2*$J$5)))</f>
        <v>-7.0898173194014064E-2</v>
      </c>
    </row>
    <row r="6" spans="2:18" x14ac:dyDescent="0.25">
      <c r="B6" t="s">
        <v>12</v>
      </c>
      <c r="C6" s="4"/>
      <c r="D6">
        <v>1</v>
      </c>
      <c r="E6">
        <v>1</v>
      </c>
      <c r="F6">
        <v>1</v>
      </c>
      <c r="J6">
        <f>SUM(0.5*$N$6*$M$6^2)</f>
        <v>510.33484248243792</v>
      </c>
      <c r="L6" s="12">
        <v>30</v>
      </c>
      <c r="M6">
        <f>SUM($F$9)</f>
        <v>29.929590386178514</v>
      </c>
      <c r="N6">
        <f>SUM($F$12)</f>
        <v>1.1394195574868737</v>
      </c>
      <c r="O6">
        <f>SUM($F$17)</f>
        <v>15.519517054947769</v>
      </c>
      <c r="P6">
        <f>SUM($F$19)</f>
        <v>-1.1100214938587032</v>
      </c>
      <c r="Q6">
        <f>SUM(($O$6/($J$2*$J$6)))</f>
        <v>0.94442420784308911</v>
      </c>
      <c r="R6">
        <f>SUM(($P$6/($J$2*$J$6)))</f>
        <v>-6.7549213439737174E-2</v>
      </c>
    </row>
    <row r="7" spans="2:18" x14ac:dyDescent="0.25">
      <c r="B7" t="s">
        <v>13</v>
      </c>
      <c r="C7" s="4"/>
      <c r="D7">
        <v>612.36</v>
      </c>
      <c r="E7">
        <v>612.36</v>
      </c>
      <c r="F7">
        <v>612.36</v>
      </c>
      <c r="N7" s="3"/>
    </row>
    <row r="8" spans="2:18" x14ac:dyDescent="0.25">
      <c r="B8" t="s">
        <v>16</v>
      </c>
      <c r="C8" s="4" t="s">
        <v>15</v>
      </c>
      <c r="D8">
        <v>82.8</v>
      </c>
      <c r="E8">
        <v>130.80000000000001</v>
      </c>
      <c r="F8">
        <v>173.9</v>
      </c>
      <c r="N8" s="3"/>
    </row>
    <row r="9" spans="2:18" x14ac:dyDescent="0.25">
      <c r="B9" s="10" t="s">
        <v>17</v>
      </c>
      <c r="C9" s="11" t="s">
        <v>18</v>
      </c>
      <c r="D9" s="10">
        <v>9.9702840797532506</v>
      </c>
      <c r="E9" s="10">
        <v>19.934324008383019</v>
      </c>
      <c r="F9" s="10">
        <v>29.929590386178514</v>
      </c>
      <c r="L9" s="2"/>
    </row>
    <row r="10" spans="2:18" x14ac:dyDescent="0.25">
      <c r="B10" s="7" t="s">
        <v>19</v>
      </c>
      <c r="C10" s="8" t="s">
        <v>18</v>
      </c>
      <c r="D10" s="9">
        <v>-1.5166066558187088E-21</v>
      </c>
      <c r="E10" s="9">
        <v>-1.5166066558187088E-21</v>
      </c>
      <c r="F10" s="9">
        <v>-1.5166066558187088E-21</v>
      </c>
      <c r="L10" s="2"/>
    </row>
    <row r="11" spans="2:18" x14ac:dyDescent="0.25">
      <c r="B11" t="s">
        <v>20</v>
      </c>
      <c r="C11" s="4" t="s">
        <v>18</v>
      </c>
      <c r="D11">
        <v>0</v>
      </c>
      <c r="E11">
        <v>0</v>
      </c>
      <c r="F11">
        <v>0</v>
      </c>
      <c r="L11" s="2"/>
    </row>
    <row r="12" spans="2:18" x14ac:dyDescent="0.25">
      <c r="B12" t="s">
        <v>21</v>
      </c>
      <c r="C12" s="4" t="s">
        <v>18</v>
      </c>
      <c r="D12">
        <v>1.1435663170396344</v>
      </c>
      <c r="E12">
        <v>1.1423690062821557</v>
      </c>
      <c r="F12">
        <v>1.1394195574868737</v>
      </c>
      <c r="H12" t="s">
        <v>41</v>
      </c>
      <c r="I12" cm="1">
        <f t="array" ref="I12">SUM(D12:F12/3)</f>
        <v>1.1417849602695547</v>
      </c>
      <c r="L12" s="2"/>
    </row>
    <row r="13" spans="2:18" x14ac:dyDescent="0.25">
      <c r="B13" t="s">
        <v>22</v>
      </c>
      <c r="C13" s="4" t="s">
        <v>18</v>
      </c>
      <c r="D13">
        <v>975.63897455242341</v>
      </c>
      <c r="E13">
        <v>975.63672573335691</v>
      </c>
      <c r="F13">
        <v>975.60023577073025</v>
      </c>
      <c r="H13" t="s">
        <v>39</v>
      </c>
      <c r="I13" cm="1">
        <f t="array" ref="I13">SUM($D$13:$F$13/3)</f>
        <v>975.62531201883689</v>
      </c>
      <c r="L13" s="2"/>
    </row>
    <row r="14" spans="2:18" x14ac:dyDescent="0.25">
      <c r="B14" t="s">
        <v>23</v>
      </c>
      <c r="C14" s="4" t="s">
        <v>18</v>
      </c>
      <c r="D14">
        <v>24.064668183931133</v>
      </c>
      <c r="E14">
        <v>24.375493102945313</v>
      </c>
      <c r="F14">
        <v>25.134500408172585</v>
      </c>
      <c r="H14" t="s">
        <v>40</v>
      </c>
      <c r="I14" cm="1">
        <f t="array" ref="I14">SUM($D$14:$F$14/3)</f>
        <v>24.52488723168301</v>
      </c>
    </row>
    <row r="15" spans="2:18" x14ac:dyDescent="0.25">
      <c r="B15" t="s">
        <v>24</v>
      </c>
      <c r="C15" s="4" t="s">
        <v>18</v>
      </c>
      <c r="D15">
        <v>23.566351366043079</v>
      </c>
      <c r="E15">
        <v>23.553600349477506</v>
      </c>
      <c r="F15">
        <v>23.503026816424153</v>
      </c>
      <c r="H15" t="s">
        <v>38</v>
      </c>
      <c r="I15" cm="1">
        <f t="array" ref="I15">SUM($D$15:$F$15/3)</f>
        <v>23.540992843981581</v>
      </c>
    </row>
    <row r="16" spans="2:18" x14ac:dyDescent="0.25">
      <c r="B16" t="s">
        <v>25</v>
      </c>
      <c r="C16" s="4" t="s">
        <v>18</v>
      </c>
      <c r="D16">
        <v>1.8462586727357234E-5</v>
      </c>
      <c r="E16">
        <v>1.8475019724117808E-5</v>
      </c>
      <c r="F16">
        <v>1.8505380016326895E-5</v>
      </c>
      <c r="L16" s="4"/>
    </row>
    <row r="17" spans="2:6" x14ac:dyDescent="0.25">
      <c r="B17" s="10" t="s">
        <v>26</v>
      </c>
      <c r="C17" s="11" t="s">
        <v>18</v>
      </c>
      <c r="D17" s="10">
        <v>1.7084390998209813</v>
      </c>
      <c r="E17" s="10">
        <v>6.930658323192314</v>
      </c>
      <c r="F17" s="10">
        <v>15.519517054947769</v>
      </c>
    </row>
    <row r="18" spans="2:6" x14ac:dyDescent="0.25">
      <c r="B18" s="10" t="s">
        <v>27</v>
      </c>
      <c r="C18" s="11" t="s">
        <v>18</v>
      </c>
      <c r="D18" s="10">
        <v>-1.1611040989815627E-2</v>
      </c>
      <c r="E18" s="10">
        <v>-0.26492698056213904</v>
      </c>
      <c r="F18" s="10">
        <v>0.55147437964347001</v>
      </c>
    </row>
    <row r="19" spans="2:6" x14ac:dyDescent="0.25">
      <c r="B19" s="10" t="s">
        <v>28</v>
      </c>
      <c r="C19" s="11" t="s">
        <v>18</v>
      </c>
      <c r="D19" s="10">
        <v>-0.13702900210146246</v>
      </c>
      <c r="E19" s="10">
        <v>-0.51816772489526997</v>
      </c>
      <c r="F19" s="10">
        <v>-1.1100214938587032</v>
      </c>
    </row>
    <row r="20" spans="2:6" x14ac:dyDescent="0.25">
      <c r="B20" t="s">
        <v>29</v>
      </c>
      <c r="C20" s="4" t="s">
        <v>18</v>
      </c>
      <c r="D20">
        <v>-2.0994210192033902E-2</v>
      </c>
      <c r="E20">
        <v>-0.31644443620850543</v>
      </c>
      <c r="F20">
        <v>0.4664475060296937</v>
      </c>
    </row>
    <row r="21" spans="2:6" x14ac:dyDescent="0.25">
      <c r="B21" t="s">
        <v>30</v>
      </c>
      <c r="C21" s="4" t="s">
        <v>18</v>
      </c>
      <c r="D21">
        <v>-1.7670182802846</v>
      </c>
      <c r="E21">
        <v>-7.1101037732801631</v>
      </c>
      <c r="F21">
        <v>-15.947096026246719</v>
      </c>
    </row>
    <row r="22" spans="2:6" x14ac:dyDescent="0.25">
      <c r="B22" t="s">
        <v>31</v>
      </c>
      <c r="C22" s="4" t="s">
        <v>18</v>
      </c>
      <c r="D22">
        <v>-3.7055138319427678E-3</v>
      </c>
      <c r="E22">
        <v>-1.6532186804191257E-3</v>
      </c>
      <c r="F22">
        <v>9.9235543945555213E-3</v>
      </c>
    </row>
    <row r="23" spans="2:6" x14ac:dyDescent="0.25">
      <c r="B23" t="s">
        <v>32</v>
      </c>
      <c r="C23" s="4" t="s">
        <v>18</v>
      </c>
      <c r="D23">
        <v>1.7084390998209813</v>
      </c>
      <c r="E23">
        <v>6.930658323192314</v>
      </c>
      <c r="F23">
        <v>15.519517054947769</v>
      </c>
    </row>
    <row r="24" spans="2:6" x14ac:dyDescent="0.25">
      <c r="B24" t="s">
        <v>33</v>
      </c>
      <c r="C24" s="4" t="s">
        <v>18</v>
      </c>
      <c r="D24">
        <v>-1.1611040989815627E-2</v>
      </c>
      <c r="E24">
        <v>-0.26492698056213904</v>
      </c>
      <c r="F24">
        <v>0.55147437964347001</v>
      </c>
    </row>
    <row r="25" spans="2:6" x14ac:dyDescent="0.25">
      <c r="B25" t="s">
        <v>34</v>
      </c>
      <c r="C25" s="4" t="s">
        <v>18</v>
      </c>
      <c r="D25">
        <v>-0.13702900210146246</v>
      </c>
      <c r="E25">
        <v>-0.51816772489526997</v>
      </c>
      <c r="F25">
        <v>-1.1100214938587032</v>
      </c>
    </row>
    <row r="26" spans="2:6" x14ac:dyDescent="0.25">
      <c r="B26" s="10" t="s">
        <v>35</v>
      </c>
      <c r="C26" s="11" t="s">
        <v>18</v>
      </c>
      <c r="D26" s="10">
        <v>-1.0544273301199836E-2</v>
      </c>
      <c r="E26" s="10">
        <v>-7.8010153702579979E-2</v>
      </c>
      <c r="F26" s="10">
        <v>-2.9879435649429218E-2</v>
      </c>
    </row>
    <row r="27" spans="2:6" x14ac:dyDescent="0.25">
      <c r="B27" s="10" t="s">
        <v>36</v>
      </c>
      <c r="C27" s="11" t="s">
        <v>18</v>
      </c>
      <c r="D27" s="10">
        <v>-0.2294230904457176</v>
      </c>
      <c r="E27" s="10">
        <v>-0.87251128240707887</v>
      </c>
      <c r="F27" s="10">
        <v>-1.9795306767937204</v>
      </c>
    </row>
    <row r="28" spans="2:6" x14ac:dyDescent="0.25">
      <c r="B28" s="10" t="s">
        <v>37</v>
      </c>
      <c r="C28" s="11" t="s">
        <v>18</v>
      </c>
      <c r="D28" s="10">
        <v>-3.7055138319427678E-3</v>
      </c>
      <c r="E28" s="10">
        <v>-1.6532186804191257E-3</v>
      </c>
      <c r="F28" s="10">
        <v>9.9235543945555213E-3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307B-847F-4256-9DBF-BDA63600964D}">
  <sheetPr codeName="Sheet4"/>
  <dimension ref="B2:R28"/>
  <sheetViews>
    <sheetView workbookViewId="0">
      <selection activeCell="L3" sqref="L3:R3"/>
    </sheetView>
  </sheetViews>
  <sheetFormatPr defaultRowHeight="15" x14ac:dyDescent="0.25"/>
  <cols>
    <col min="2" max="2" width="34.85546875" customWidth="1"/>
    <col min="3" max="3" width="7.140625" customWidth="1"/>
    <col min="4" max="4" width="13.42578125" customWidth="1"/>
    <col min="5" max="5" width="14.7109375" customWidth="1"/>
    <col min="6" max="6" width="13.85546875" customWidth="1"/>
    <col min="8" max="8" width="17.140625" customWidth="1"/>
    <col min="9" max="9" width="17.7109375" customWidth="1"/>
    <col min="12" max="12" width="11" customWidth="1"/>
    <col min="13" max="13" width="16" customWidth="1"/>
    <col min="14" max="14" width="17" customWidth="1"/>
    <col min="15" max="15" width="13.7109375" customWidth="1"/>
    <col min="16" max="16" width="17.28515625" customWidth="1"/>
    <col min="17" max="17" width="16.28515625" customWidth="1"/>
    <col min="18" max="18" width="14.7109375" customWidth="1"/>
  </cols>
  <sheetData>
    <row r="2" spans="2:18" x14ac:dyDescent="0.25">
      <c r="I2" t="s">
        <v>42</v>
      </c>
      <c r="J2">
        <f>SUM(0.02235)</f>
        <v>2.2349999999999998E-2</v>
      </c>
    </row>
    <row r="3" spans="2:18" x14ac:dyDescent="0.25">
      <c r="B3" t="s">
        <v>12</v>
      </c>
      <c r="C3" s="4"/>
      <c r="D3">
        <v>1</v>
      </c>
      <c r="E3">
        <v>1</v>
      </c>
      <c r="F3">
        <v>1</v>
      </c>
      <c r="L3" s="12" t="s">
        <v>46</v>
      </c>
      <c r="M3" s="12" t="s">
        <v>47</v>
      </c>
      <c r="N3" s="12" t="s">
        <v>43</v>
      </c>
      <c r="O3" s="12" t="s">
        <v>44</v>
      </c>
      <c r="P3" s="12" t="s">
        <v>45</v>
      </c>
      <c r="Q3" s="12" t="s">
        <v>48</v>
      </c>
      <c r="R3" s="12" t="s">
        <v>49</v>
      </c>
    </row>
    <row r="4" spans="2:18" x14ac:dyDescent="0.25">
      <c r="B4" t="s">
        <v>13</v>
      </c>
      <c r="C4" s="4"/>
      <c r="D4">
        <v>372.85</v>
      </c>
      <c r="E4">
        <v>372.85</v>
      </c>
      <c r="F4">
        <v>372.85</v>
      </c>
      <c r="I4" t="s">
        <v>50</v>
      </c>
      <c r="J4">
        <f>SUM(0.5*$N$4*$M$4^2)</f>
        <v>57.325117340732184</v>
      </c>
      <c r="L4" s="13">
        <v>10</v>
      </c>
      <c r="M4">
        <f>SUM($D$9)</f>
        <v>10.018532249841408</v>
      </c>
      <c r="N4">
        <f>SUM($D$12)</f>
        <v>1.1422646768964484</v>
      </c>
      <c r="O4">
        <f>SUM($D$17)</f>
        <v>1.2934004569256337</v>
      </c>
      <c r="P4">
        <f>SUM($D$19)</f>
        <v>-7.8303065130277044E-2</v>
      </c>
      <c r="Q4">
        <f>SUM(($O$4/($J$2*$J$4)))</f>
        <v>1.0095097788485745</v>
      </c>
      <c r="R4">
        <f>SUM(($P$4/($J$2*$J$4)))</f>
        <v>-6.1116191462252195E-2</v>
      </c>
    </row>
    <row r="5" spans="2:18" x14ac:dyDescent="0.25">
      <c r="B5" t="s">
        <v>14</v>
      </c>
      <c r="C5" s="4" t="s">
        <v>15</v>
      </c>
      <c r="D5">
        <v>58.4</v>
      </c>
      <c r="E5">
        <v>108.2</v>
      </c>
      <c r="F5">
        <v>153.30000000000001</v>
      </c>
      <c r="J5">
        <f>SUM(0.5*$N$5*$M$5^2)</f>
        <v>227.22816551394257</v>
      </c>
      <c r="L5" s="12">
        <v>20</v>
      </c>
      <c r="M5">
        <f>SUM($E$9)</f>
        <v>19.951595984426696</v>
      </c>
      <c r="N5">
        <f>SUM($E$12)</f>
        <v>1.1416602344178588</v>
      </c>
      <c r="O5">
        <f>SUM($E$17)</f>
        <v>5.1817785428280896</v>
      </c>
      <c r="P5">
        <f>SUM($E$19)</f>
        <v>-0.24027441572939831</v>
      </c>
      <c r="Q5">
        <f>SUM(($O$5/($J$2*$J$5)))</f>
        <v>1.0203264817261288</v>
      </c>
      <c r="R5">
        <f>SUM(($P$5/($J$2*$J$5)))</f>
        <v>-4.7311622297964255E-2</v>
      </c>
    </row>
    <row r="6" spans="2:18" x14ac:dyDescent="0.25">
      <c r="B6" t="s">
        <v>12</v>
      </c>
      <c r="C6" s="4"/>
      <c r="D6">
        <v>1</v>
      </c>
      <c r="E6">
        <v>1</v>
      </c>
      <c r="F6">
        <v>1</v>
      </c>
      <c r="J6">
        <f>SUM(0.5*$N$6*$M$6^2)</f>
        <v>513.57963351180797</v>
      </c>
      <c r="L6" s="12">
        <v>30</v>
      </c>
      <c r="M6">
        <f>SUM($F$9)</f>
        <v>30.02680023965663</v>
      </c>
      <c r="N6">
        <f>SUM($F$12)</f>
        <v>1.1392516840701268</v>
      </c>
      <c r="O6">
        <f>SUM($F$17)</f>
        <v>11.568754680372672</v>
      </c>
      <c r="P6">
        <f>SUM($F$19)</f>
        <v>-0.53844119945241464</v>
      </c>
      <c r="Q6">
        <f>SUM(($O$6/($J$2*$J$6)))</f>
        <v>1.0078625110923063</v>
      </c>
      <c r="R6">
        <f>SUM(($P$6/($J$2*$J$6)))</f>
        <v>-4.6908653035607664E-2</v>
      </c>
    </row>
    <row r="7" spans="2:18" x14ac:dyDescent="0.25">
      <c r="B7" t="s">
        <v>13</v>
      </c>
      <c r="C7" s="4"/>
      <c r="D7">
        <v>372.85</v>
      </c>
      <c r="E7">
        <v>372.85</v>
      </c>
      <c r="F7">
        <v>372.85</v>
      </c>
      <c r="N7" s="3"/>
    </row>
    <row r="8" spans="2:18" x14ac:dyDescent="0.25">
      <c r="B8" t="s">
        <v>16</v>
      </c>
      <c r="C8" s="4" t="s">
        <v>15</v>
      </c>
      <c r="D8">
        <v>66.8</v>
      </c>
      <c r="E8">
        <v>117.7</v>
      </c>
      <c r="F8">
        <v>163.19999999999999</v>
      </c>
      <c r="N8" s="3"/>
    </row>
    <row r="9" spans="2:18" x14ac:dyDescent="0.25">
      <c r="B9" s="5" t="s">
        <v>17</v>
      </c>
      <c r="C9" s="6" t="s">
        <v>18</v>
      </c>
      <c r="D9" s="5">
        <v>10.018532249841408</v>
      </c>
      <c r="E9" s="5">
        <v>19.951595984426696</v>
      </c>
      <c r="F9" s="5">
        <v>30.02680023965663</v>
      </c>
      <c r="L9" s="2"/>
    </row>
    <row r="10" spans="2:18" x14ac:dyDescent="0.25">
      <c r="B10" s="7" t="s">
        <v>19</v>
      </c>
      <c r="C10" s="8" t="s">
        <v>18</v>
      </c>
      <c r="D10" s="9">
        <v>-1.5166066558187088E-21</v>
      </c>
      <c r="E10" s="9">
        <v>-1.5166066558187088E-21</v>
      </c>
      <c r="F10" s="9">
        <v>-1.5166066558187088E-21</v>
      </c>
      <c r="L10" s="2"/>
    </row>
    <row r="11" spans="2:18" x14ac:dyDescent="0.25">
      <c r="B11" t="s">
        <v>20</v>
      </c>
      <c r="C11" s="4" t="s">
        <v>18</v>
      </c>
      <c r="D11">
        <v>0</v>
      </c>
      <c r="E11">
        <v>0</v>
      </c>
      <c r="F11">
        <v>0</v>
      </c>
      <c r="L11" s="2"/>
    </row>
    <row r="12" spans="2:18" x14ac:dyDescent="0.25">
      <c r="B12" t="s">
        <v>21</v>
      </c>
      <c r="C12" s="4" t="s">
        <v>18</v>
      </c>
      <c r="D12">
        <v>1.1422646768964484</v>
      </c>
      <c r="E12">
        <v>1.1416602344178588</v>
      </c>
      <c r="F12">
        <v>1.1392516840701268</v>
      </c>
      <c r="H12" t="s">
        <v>41</v>
      </c>
      <c r="I12" cm="1">
        <f t="array" ref="I12">SUM(D12:F12/3)</f>
        <v>1.1410588651281448</v>
      </c>
      <c r="L12" s="2"/>
    </row>
    <row r="13" spans="2:18" x14ac:dyDescent="0.25">
      <c r="B13" t="s">
        <v>22</v>
      </c>
      <c r="C13" s="4" t="s">
        <v>18</v>
      </c>
      <c r="D13">
        <v>975.5562644345423</v>
      </c>
      <c r="E13">
        <v>975.56216460780092</v>
      </c>
      <c r="F13">
        <v>975.53256338292965</v>
      </c>
      <c r="H13" t="s">
        <v>39</v>
      </c>
      <c r="I13" cm="1">
        <f t="array" ref="I13">SUM($D$13:$F$13/3)</f>
        <v>975.55033080842429</v>
      </c>
      <c r="L13" s="2"/>
    </row>
    <row r="14" spans="2:18" x14ac:dyDescent="0.25">
      <c r="B14" t="s">
        <v>23</v>
      </c>
      <c r="C14" s="4" t="s">
        <v>18</v>
      </c>
      <c r="D14">
        <v>24.378124624206862</v>
      </c>
      <c r="E14">
        <v>24.537450318587446</v>
      </c>
      <c r="F14">
        <v>25.157757109825013</v>
      </c>
      <c r="H14" t="s">
        <v>40</v>
      </c>
      <c r="I14" cm="1">
        <f t="array" ref="I14">SUM($D$14:$F$14/3)</f>
        <v>24.691110684206436</v>
      </c>
    </row>
    <row r="15" spans="2:18" x14ac:dyDescent="0.25">
      <c r="B15" t="s">
        <v>24</v>
      </c>
      <c r="C15" s="4" t="s">
        <v>18</v>
      </c>
      <c r="D15">
        <v>23.300367008220576</v>
      </c>
      <c r="E15">
        <v>23.306018536969191</v>
      </c>
      <c r="F15">
        <v>23.277703465114939</v>
      </c>
      <c r="H15" t="s">
        <v>38</v>
      </c>
      <c r="I15" cm="1">
        <f t="array" ref="I15">SUM($D$15:$F$15/3)</f>
        <v>23.294696336768236</v>
      </c>
    </row>
    <row r="16" spans="2:18" x14ac:dyDescent="0.25">
      <c r="B16" t="s">
        <v>25</v>
      </c>
      <c r="C16" s="4" t="s">
        <v>18</v>
      </c>
      <c r="D16">
        <v>1.8475124984968262E-5</v>
      </c>
      <c r="E16">
        <v>1.8481498012743492E-5</v>
      </c>
      <c r="F16">
        <v>1.8506310284392996E-5</v>
      </c>
      <c r="L16" s="4"/>
    </row>
    <row r="17" spans="2:6" x14ac:dyDescent="0.25">
      <c r="B17" s="5" t="s">
        <v>26</v>
      </c>
      <c r="C17" s="6" t="s">
        <v>18</v>
      </c>
      <c r="D17" s="5">
        <v>1.2934004569256337</v>
      </c>
      <c r="E17" s="5">
        <v>5.1817785428280896</v>
      </c>
      <c r="F17" s="5">
        <v>11.568754680372672</v>
      </c>
    </row>
    <row r="18" spans="2:6" x14ac:dyDescent="0.25">
      <c r="B18" s="5" t="s">
        <v>27</v>
      </c>
      <c r="C18" s="6" t="s">
        <v>18</v>
      </c>
      <c r="D18" s="5">
        <v>2.4868250308087397E-2</v>
      </c>
      <c r="E18" s="5">
        <v>7.5973567760635513E-4</v>
      </c>
      <c r="F18" s="5">
        <v>-0.14004689870001594</v>
      </c>
    </row>
    <row r="19" spans="2:6" x14ac:dyDescent="0.25">
      <c r="B19" s="5" t="s">
        <v>28</v>
      </c>
      <c r="C19" s="6" t="s">
        <v>18</v>
      </c>
      <c r="D19" s="5">
        <v>-7.8303065130277044E-2</v>
      </c>
      <c r="E19" s="5">
        <v>-0.24027441572939831</v>
      </c>
      <c r="F19" s="5">
        <v>-0.53844119945241464</v>
      </c>
    </row>
    <row r="20" spans="2:6" x14ac:dyDescent="0.25">
      <c r="B20" t="s">
        <v>29</v>
      </c>
      <c r="C20" s="4" t="s">
        <v>18</v>
      </c>
      <c r="D20">
        <v>9.5015323670010546E-3</v>
      </c>
      <c r="E20">
        <v>-3.518749880423324E-2</v>
      </c>
      <c r="F20">
        <v>-0.20450728234606466</v>
      </c>
    </row>
    <row r="21" spans="2:6" x14ac:dyDescent="0.25">
      <c r="B21" t="s">
        <v>30</v>
      </c>
      <c r="C21" s="4" t="s">
        <v>18</v>
      </c>
      <c r="D21">
        <v>-1.331114488222479</v>
      </c>
      <c r="E21">
        <v>-5.3310413160248835</v>
      </c>
      <c r="F21">
        <v>-11.916767313406414</v>
      </c>
    </row>
    <row r="22" spans="2:6" x14ac:dyDescent="0.25">
      <c r="B22" t="s">
        <v>31</v>
      </c>
      <c r="C22" s="4" t="s">
        <v>18</v>
      </c>
      <c r="D22">
        <v>2.5940372261350508E-3</v>
      </c>
      <c r="E22">
        <v>6.6773470056729293E-3</v>
      </c>
      <c r="F22">
        <v>1.482911096216462E-3</v>
      </c>
    </row>
    <row r="23" spans="2:6" x14ac:dyDescent="0.25">
      <c r="B23" t="s">
        <v>32</v>
      </c>
      <c r="C23" s="4" t="s">
        <v>18</v>
      </c>
      <c r="D23">
        <v>1.2934004569256337</v>
      </c>
      <c r="E23">
        <v>5.1817785428280896</v>
      </c>
      <c r="F23">
        <v>11.568754680372672</v>
      </c>
    </row>
    <row r="24" spans="2:6" x14ac:dyDescent="0.25">
      <c r="B24" t="s">
        <v>33</v>
      </c>
      <c r="C24" s="4" t="s">
        <v>18</v>
      </c>
      <c r="D24">
        <v>2.4868250308087397E-2</v>
      </c>
      <c r="E24">
        <v>7.5973567760635513E-4</v>
      </c>
      <c r="F24">
        <v>-0.14004689870001594</v>
      </c>
    </row>
    <row r="25" spans="2:6" x14ac:dyDescent="0.25">
      <c r="B25" t="s">
        <v>34</v>
      </c>
      <c r="C25" s="4" t="s">
        <v>18</v>
      </c>
      <c r="D25">
        <v>-7.8303065130277044E-2</v>
      </c>
      <c r="E25">
        <v>-0.24027441572939831</v>
      </c>
      <c r="F25">
        <v>-0.53844119945241464</v>
      </c>
    </row>
    <row r="26" spans="2:6" x14ac:dyDescent="0.25">
      <c r="B26" s="5" t="s">
        <v>35</v>
      </c>
      <c r="C26" s="6" t="s">
        <v>18</v>
      </c>
      <c r="D26" s="5">
        <v>-1.2879892910277609E-2</v>
      </c>
      <c r="E26" s="5">
        <v>-3.587126091407896E-2</v>
      </c>
      <c r="F26" s="5">
        <v>-7.8465073516050379E-2</v>
      </c>
    </row>
    <row r="27" spans="2:6" x14ac:dyDescent="0.25">
      <c r="B27" s="5" t="s">
        <v>36</v>
      </c>
      <c r="C27" s="6" t="s">
        <v>18</v>
      </c>
      <c r="D27" s="5">
        <v>-0.16705407698940744</v>
      </c>
      <c r="E27" s="5">
        <v>-0.6674406274796032</v>
      </c>
      <c r="F27" s="5">
        <v>-1.5048881010710102</v>
      </c>
    </row>
    <row r="28" spans="2:6" x14ac:dyDescent="0.25">
      <c r="B28" s="5" t="s">
        <v>37</v>
      </c>
      <c r="C28" s="6" t="s">
        <v>18</v>
      </c>
      <c r="D28" s="5">
        <v>2.5940372261350508E-3</v>
      </c>
      <c r="E28" s="5">
        <v>6.6773470056729293E-3</v>
      </c>
      <c r="F28" s="5">
        <v>1.482911096216462E-3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619F-7A61-457A-8A48-2AC25DD89EB0}">
  <sheetPr codeName="Sheet5"/>
  <dimension ref="B2:R28"/>
  <sheetViews>
    <sheetView workbookViewId="0">
      <selection activeCell="L3" sqref="L3:R3"/>
    </sheetView>
  </sheetViews>
  <sheetFormatPr defaultRowHeight="15" x14ac:dyDescent="0.25"/>
  <cols>
    <col min="2" max="2" width="35.28515625" customWidth="1"/>
    <col min="3" max="3" width="8.42578125" customWidth="1"/>
    <col min="4" max="4" width="13.85546875" customWidth="1"/>
    <col min="5" max="5" width="14.42578125" customWidth="1"/>
    <col min="6" max="6" width="14.7109375" customWidth="1"/>
    <col min="8" max="8" width="18" customWidth="1"/>
    <col min="9" max="9" width="17.42578125" customWidth="1"/>
    <col min="12" max="12" width="10.85546875" customWidth="1"/>
    <col min="13" max="13" width="14.5703125" customWidth="1"/>
    <col min="14" max="14" width="14.140625" customWidth="1"/>
    <col min="15" max="15" width="14" customWidth="1"/>
    <col min="16" max="16" width="14.7109375" customWidth="1"/>
    <col min="17" max="17" width="15.85546875" customWidth="1"/>
    <col min="18" max="18" width="16.42578125" customWidth="1"/>
  </cols>
  <sheetData>
    <row r="2" spans="2:18" x14ac:dyDescent="0.25">
      <c r="I2" t="s">
        <v>42</v>
      </c>
      <c r="J2">
        <f>SUM(0.02235)</f>
        <v>2.2349999999999998E-2</v>
      </c>
    </row>
    <row r="3" spans="2:18" x14ac:dyDescent="0.25">
      <c r="B3" t="s">
        <v>12</v>
      </c>
      <c r="C3" s="4"/>
      <c r="D3">
        <v>1</v>
      </c>
      <c r="E3">
        <v>1</v>
      </c>
      <c r="F3">
        <v>1</v>
      </c>
      <c r="L3" s="12" t="s">
        <v>46</v>
      </c>
      <c r="M3" s="12" t="s">
        <v>47</v>
      </c>
      <c r="N3" s="12" t="s">
        <v>43</v>
      </c>
      <c r="O3" s="12" t="s">
        <v>44</v>
      </c>
      <c r="P3" s="12" t="s">
        <v>45</v>
      </c>
      <c r="Q3" s="12" t="s">
        <v>48</v>
      </c>
      <c r="R3" s="12" t="s">
        <v>49</v>
      </c>
    </row>
    <row r="4" spans="2:18" x14ac:dyDescent="0.25">
      <c r="B4" t="s">
        <v>13</v>
      </c>
      <c r="C4" s="4"/>
      <c r="D4">
        <v>214.99</v>
      </c>
      <c r="E4">
        <v>214.99</v>
      </c>
      <c r="F4">
        <v>214.99</v>
      </c>
      <c r="I4" t="s">
        <v>50</v>
      </c>
      <c r="J4">
        <f>SUM(0.5*$N$4*$M$4^2)</f>
        <v>56.360833093401254</v>
      </c>
      <c r="L4" s="13">
        <v>10</v>
      </c>
      <c r="M4">
        <f>SUM($D$9)</f>
        <v>9.9316212079821629</v>
      </c>
      <c r="N4">
        <f>SUM($D$12)</f>
        <v>1.1427917730126842</v>
      </c>
      <c r="O4">
        <f>SUM($D$17)</f>
        <v>0.41516916533979437</v>
      </c>
      <c r="P4">
        <f>SUM($D$19)</f>
        <v>3.6889522773544181E-2</v>
      </c>
      <c r="Q4">
        <f>SUM(($O$4/($J$2*$J$4)))</f>
        <v>0.32958706537241939</v>
      </c>
      <c r="R4">
        <f>SUM(($P$4/($J$2*$J$4)))</f>
        <v>2.9285194009941742E-2</v>
      </c>
    </row>
    <row r="5" spans="2:18" x14ac:dyDescent="0.25">
      <c r="B5" t="s">
        <v>14</v>
      </c>
      <c r="C5" s="4" t="s">
        <v>15</v>
      </c>
      <c r="D5">
        <v>48.3</v>
      </c>
      <c r="E5">
        <v>83.2</v>
      </c>
      <c r="F5">
        <v>123.3</v>
      </c>
      <c r="J5">
        <f>SUM(0.5*$N$5*$M$5^2)</f>
        <v>228.09820737462087</v>
      </c>
      <c r="L5" s="12">
        <v>20</v>
      </c>
      <c r="M5">
        <f>SUM($E$9)</f>
        <v>19.982984328433869</v>
      </c>
      <c r="N5">
        <f>SUM($E$12)</f>
        <v>1.1424341383503311</v>
      </c>
      <c r="O5">
        <f>SUM($E$17)</f>
        <v>1.5533807255726866</v>
      </c>
      <c r="P5">
        <f>SUM($E$19)</f>
        <v>-5.9678423939807157E-2</v>
      </c>
      <c r="Q5">
        <f>SUM(($O$5/($J$2*$J$5)))</f>
        <v>0.30470425048130956</v>
      </c>
      <c r="R5">
        <f>SUM(($P$5/($J$2*$J$5)))</f>
        <v>-1.1706254067096631E-2</v>
      </c>
    </row>
    <row r="6" spans="2:18" x14ac:dyDescent="0.25">
      <c r="B6" t="s">
        <v>12</v>
      </c>
      <c r="C6" s="4"/>
      <c r="D6">
        <v>1</v>
      </c>
      <c r="E6">
        <v>1</v>
      </c>
      <c r="F6">
        <v>1</v>
      </c>
      <c r="J6">
        <f>SUM(0.5*$N$6*$M$6^2)</f>
        <v>514.89582472444465</v>
      </c>
      <c r="L6" s="12">
        <v>30</v>
      </c>
      <c r="M6">
        <f>SUM($F$9)</f>
        <v>30.061303514413591</v>
      </c>
      <c r="N6">
        <f>SUM($F$12)</f>
        <v>1.1395509535337323</v>
      </c>
      <c r="O6">
        <f>SUM($F$17)</f>
        <v>3.3489421543527316</v>
      </c>
      <c r="P6">
        <f>SUM($F$19)</f>
        <v>-0.20079139158225362</v>
      </c>
      <c r="Q6">
        <f>SUM(($O$6/($J$2*$J$6)))</f>
        <v>0.29101190003915822</v>
      </c>
      <c r="R6">
        <f>SUM(($P$6/($J$2*$J$6)))</f>
        <v>-1.744810202227929E-2</v>
      </c>
    </row>
    <row r="7" spans="2:18" x14ac:dyDescent="0.25">
      <c r="B7" t="s">
        <v>13</v>
      </c>
      <c r="C7" s="4"/>
      <c r="D7">
        <v>214.99</v>
      </c>
      <c r="E7">
        <v>214.99</v>
      </c>
      <c r="F7">
        <v>214.99</v>
      </c>
      <c r="N7" s="3"/>
    </row>
    <row r="8" spans="2:18" x14ac:dyDescent="0.25">
      <c r="B8" t="s">
        <v>16</v>
      </c>
      <c r="C8" s="4" t="s">
        <v>15</v>
      </c>
      <c r="D8">
        <v>58.1</v>
      </c>
      <c r="E8">
        <v>91.3</v>
      </c>
      <c r="F8">
        <v>134.6</v>
      </c>
      <c r="N8" s="3"/>
    </row>
    <row r="9" spans="2:18" x14ac:dyDescent="0.25">
      <c r="B9" s="5" t="s">
        <v>17</v>
      </c>
      <c r="C9" s="6" t="s">
        <v>18</v>
      </c>
      <c r="D9" s="5">
        <v>9.9316212079821629</v>
      </c>
      <c r="E9" s="5">
        <v>19.982984328433869</v>
      </c>
      <c r="F9" s="5">
        <v>30.061303514413591</v>
      </c>
      <c r="L9" s="2"/>
    </row>
    <row r="10" spans="2:18" x14ac:dyDescent="0.25">
      <c r="B10" s="7" t="s">
        <v>19</v>
      </c>
      <c r="C10" s="8" t="s">
        <v>18</v>
      </c>
      <c r="D10" s="9">
        <v>-1.5166066558187088E-21</v>
      </c>
      <c r="E10" s="9">
        <v>-1.5166066558187088E-21</v>
      </c>
      <c r="F10" s="9">
        <v>-1.5166066558187088E-21</v>
      </c>
      <c r="L10" s="2"/>
    </row>
    <row r="11" spans="2:18" x14ac:dyDescent="0.25">
      <c r="B11" t="s">
        <v>20</v>
      </c>
      <c r="C11" s="4" t="s">
        <v>18</v>
      </c>
      <c r="D11">
        <v>0</v>
      </c>
      <c r="E11">
        <v>0</v>
      </c>
      <c r="F11">
        <v>0</v>
      </c>
      <c r="L11" s="2"/>
    </row>
    <row r="12" spans="2:18" x14ac:dyDescent="0.25">
      <c r="B12" t="s">
        <v>21</v>
      </c>
      <c r="C12" s="4" t="s">
        <v>18</v>
      </c>
      <c r="D12">
        <v>1.1427917730126842</v>
      </c>
      <c r="E12">
        <v>1.1424341383503311</v>
      </c>
      <c r="F12">
        <v>1.1395509535337323</v>
      </c>
      <c r="H12" t="s">
        <v>41</v>
      </c>
      <c r="I12" cm="1">
        <f t="array" ref="I12">SUM(D12:F12/3)</f>
        <v>1.1415922882989158</v>
      </c>
      <c r="L12" s="2"/>
    </row>
    <row r="13" spans="2:18" x14ac:dyDescent="0.25">
      <c r="B13" t="s">
        <v>22</v>
      </c>
      <c r="C13" s="4" t="s">
        <v>18</v>
      </c>
      <c r="D13">
        <v>975.43424689039898</v>
      </c>
      <c r="E13">
        <v>975.45289286860657</v>
      </c>
      <c r="F13">
        <v>975.4326780285453</v>
      </c>
      <c r="H13" t="s">
        <v>39</v>
      </c>
      <c r="I13" cm="1">
        <f t="array" ref="I13">SUM($D$13:$F$13/3)</f>
        <v>975.43993926251687</v>
      </c>
      <c r="L13" s="2"/>
    </row>
    <row r="14" spans="2:18" x14ac:dyDescent="0.25">
      <c r="B14" t="s">
        <v>23</v>
      </c>
      <c r="C14" s="4" t="s">
        <v>18</v>
      </c>
      <c r="D14">
        <v>24.203699152810202</v>
      </c>
      <c r="E14">
        <v>24.30247239595576</v>
      </c>
      <c r="F14">
        <v>25.048889199822327</v>
      </c>
      <c r="H14" t="s">
        <v>40</v>
      </c>
      <c r="I14" cm="1">
        <f t="array" ref="I14">SUM($D$14:$F$14/3)</f>
        <v>24.518353582862765</v>
      </c>
    </row>
    <row r="15" spans="2:18" x14ac:dyDescent="0.25">
      <c r="B15" t="s">
        <v>24</v>
      </c>
      <c r="C15" s="4" t="s">
        <v>18</v>
      </c>
      <c r="D15">
        <v>23.114658329924737</v>
      </c>
      <c r="E15">
        <v>23.117753843613571</v>
      </c>
      <c r="F15">
        <v>23.114231483915148</v>
      </c>
      <c r="H15" t="s">
        <v>38</v>
      </c>
      <c r="I15" cm="1">
        <f t="array" ref="I15">SUM($D$15:$F$15/3)</f>
        <v>23.115547885817818</v>
      </c>
    </row>
    <row r="16" spans="2:18" x14ac:dyDescent="0.25">
      <c r="B16" t="s">
        <v>25</v>
      </c>
      <c r="C16" s="4" t="s">
        <v>18</v>
      </c>
      <c r="D16">
        <v>1.8468147966112402E-5</v>
      </c>
      <c r="E16">
        <v>1.8472098895838227E-5</v>
      </c>
      <c r="F16">
        <v>1.8501955567992881E-5</v>
      </c>
      <c r="L16" s="4"/>
    </row>
    <row r="17" spans="2:6" x14ac:dyDescent="0.25">
      <c r="B17" s="5" t="s">
        <v>26</v>
      </c>
      <c r="C17" s="6" t="s">
        <v>18</v>
      </c>
      <c r="D17" s="5">
        <v>0.41516916533979437</v>
      </c>
      <c r="E17" s="5">
        <v>1.5533807255726866</v>
      </c>
      <c r="F17" s="5">
        <v>3.3489421543527316</v>
      </c>
    </row>
    <row r="18" spans="2:6" x14ac:dyDescent="0.25">
      <c r="B18" s="5" t="s">
        <v>27</v>
      </c>
      <c r="C18" s="6" t="s">
        <v>18</v>
      </c>
      <c r="D18" s="5">
        <v>-4.1807328642233653E-2</v>
      </c>
      <c r="E18" s="5">
        <v>-7.3826648871879785E-2</v>
      </c>
      <c r="F18" s="5">
        <v>-4.3772420264939146E-2</v>
      </c>
    </row>
    <row r="19" spans="2:6" x14ac:dyDescent="0.25">
      <c r="B19" s="5" t="s">
        <v>28</v>
      </c>
      <c r="C19" s="6" t="s">
        <v>18</v>
      </c>
      <c r="D19" s="5">
        <v>3.6889522773544181E-2</v>
      </c>
      <c r="E19" s="5">
        <v>-5.9678423939807157E-2</v>
      </c>
      <c r="F19" s="5">
        <v>-0.20079139158225362</v>
      </c>
    </row>
    <row r="20" spans="2:6" x14ac:dyDescent="0.25">
      <c r="B20" t="s">
        <v>29</v>
      </c>
      <c r="C20" s="4" t="s">
        <v>18</v>
      </c>
      <c r="D20">
        <v>-2.4646395740303684E-2</v>
      </c>
      <c r="E20">
        <v>-6.7988798875767031E-2</v>
      </c>
      <c r="F20">
        <v>-4.6096114915169545E-2</v>
      </c>
    </row>
    <row r="21" spans="2:6" x14ac:dyDescent="0.25">
      <c r="B21" t="s">
        <v>30</v>
      </c>
      <c r="C21" s="4" t="s">
        <v>18</v>
      </c>
      <c r="D21">
        <v>-0.42826637223448938</v>
      </c>
      <c r="E21">
        <v>-1.5674552972740821</v>
      </c>
      <c r="F21">
        <v>-3.3828390430481292</v>
      </c>
    </row>
    <row r="22" spans="2:6" x14ac:dyDescent="0.25">
      <c r="B22" t="s">
        <v>31</v>
      </c>
      <c r="C22" s="4" t="s">
        <v>18</v>
      </c>
      <c r="D22">
        <v>1.5502968720542561E-3</v>
      </c>
      <c r="E22">
        <v>2.8971622052103662E-5</v>
      </c>
      <c r="F22">
        <v>-7.0174151733789613E-4</v>
      </c>
    </row>
    <row r="23" spans="2:6" x14ac:dyDescent="0.25">
      <c r="B23" t="s">
        <v>32</v>
      </c>
      <c r="C23" s="4" t="s">
        <v>18</v>
      </c>
      <c r="D23">
        <v>0.41516916533979437</v>
      </c>
      <c r="E23">
        <v>1.5533807255726866</v>
      </c>
      <c r="F23">
        <v>3.3489421543527316</v>
      </c>
    </row>
    <row r="24" spans="2:6" x14ac:dyDescent="0.25">
      <c r="B24" t="s">
        <v>33</v>
      </c>
      <c r="C24" s="4" t="s">
        <v>18</v>
      </c>
      <c r="D24">
        <v>-4.1807328642233653E-2</v>
      </c>
      <c r="E24">
        <v>-7.3826648871879785E-2</v>
      </c>
      <c r="F24">
        <v>-4.3772420264939146E-2</v>
      </c>
    </row>
    <row r="25" spans="2:6" x14ac:dyDescent="0.25">
      <c r="B25" t="s">
        <v>34</v>
      </c>
      <c r="C25" s="4" t="s">
        <v>18</v>
      </c>
      <c r="D25">
        <v>3.6889522773544181E-2</v>
      </c>
      <c r="E25">
        <v>-5.9678423939807157E-2</v>
      </c>
      <c r="F25">
        <v>-0.20079139158225362</v>
      </c>
    </row>
    <row r="26" spans="2:6" x14ac:dyDescent="0.25">
      <c r="B26" s="5" t="s">
        <v>35</v>
      </c>
      <c r="C26" s="6" t="s">
        <v>18</v>
      </c>
      <c r="D26" s="5">
        <v>1.2980200037706583E-2</v>
      </c>
      <c r="E26" s="5">
        <v>-1.5448148910751996E-3</v>
      </c>
      <c r="F26" s="5">
        <v>-6.7009366767242905E-3</v>
      </c>
    </row>
    <row r="27" spans="2:6" x14ac:dyDescent="0.25">
      <c r="B27" s="5" t="s">
        <v>36</v>
      </c>
      <c r="C27" s="6" t="s">
        <v>18</v>
      </c>
      <c r="D27" s="5">
        <v>-5.4614123428674256E-2</v>
      </c>
      <c r="E27" s="5">
        <v>-0.16941264425866417</v>
      </c>
      <c r="F27" s="5">
        <v>-0.36879110413067212</v>
      </c>
    </row>
    <row r="28" spans="2:6" x14ac:dyDescent="0.25">
      <c r="B28" s="5" t="s">
        <v>37</v>
      </c>
      <c r="C28" s="6" t="s">
        <v>18</v>
      </c>
      <c r="D28" s="5">
        <v>1.5502968720542561E-3</v>
      </c>
      <c r="E28" s="5">
        <v>2.8971622052103662E-5</v>
      </c>
      <c r="F28" s="5">
        <v>-7.0174151733789613E-4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499F-F586-4904-BC72-463017B189A9}">
  <sheetPr codeName="Sheet6"/>
  <dimension ref="AB47"/>
  <sheetViews>
    <sheetView tabSelected="1" workbookViewId="0">
      <selection activeCell="AD42" sqref="AD42"/>
    </sheetView>
  </sheetViews>
  <sheetFormatPr defaultRowHeight="15" x14ac:dyDescent="0.25"/>
  <sheetData>
    <row r="47" spans="28:28" x14ac:dyDescent="0.25">
      <c r="AB47" t="s">
        <v>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36CE9-968F-4779-B3A8-1BB42ECD6A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Wind Tunnel Datas</vt:lpstr>
      <vt:lpstr>Run 1 Cube 0</vt:lpstr>
      <vt:lpstr>Run 2 Cube 45</vt:lpstr>
      <vt:lpstr>Run 3 Rectangle</vt:lpstr>
      <vt:lpstr>Run 4 Streamline Body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Brothwell</dc:creator>
  <cp:lastModifiedBy>Oliver Brothwell</cp:lastModifiedBy>
  <dcterms:created xsi:type="dcterms:W3CDTF">2025-10-24T14:23:42Z</dcterms:created>
  <dcterms:modified xsi:type="dcterms:W3CDTF">2026-08-28T14:20:39Z</dcterms:modified>
</cp:coreProperties>
</file>