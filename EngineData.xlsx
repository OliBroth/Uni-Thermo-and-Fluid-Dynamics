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ni\Year 2\5001ME\Fluids&amp;Thermo\Coursework\Dyno\Dyno data\"/>
    </mc:Choice>
  </mc:AlternateContent>
  <xr:revisionPtr revIDLastSave="0" documentId="13_ncr:1_{617E57D7-4437-4E15-BF55-4C766EC0EAE9}" xr6:coauthVersionLast="47" xr6:coauthVersionMax="47" xr10:uidLastSave="{00000000-0000-0000-0000-000000000000}"/>
  <bookViews>
    <workbookView xWindow="4125" yWindow="0" windowWidth="28800" windowHeight="15345" xr2:uid="{00000000-000D-0000-FFFF-FFFF00000000}"/>
  </bookViews>
  <sheets>
    <sheet name="motosport9" sheetId="1" r:id="rId1"/>
    <sheet name="lab" sheetId="2" r:id="rId2"/>
    <sheet name="Mondeo" sheetId="3" r:id="rId3"/>
    <sheet name="gm" sheetId="4" r:id="rId4"/>
    <sheet name="CAT" sheetId="5" r:id="rId5"/>
    <sheet name="Graph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I6" i="2" s="1"/>
  <c r="T3" i="2"/>
  <c r="M6" i="3"/>
  <c r="M17" i="3"/>
  <c r="M16" i="3"/>
  <c r="M15" i="3"/>
  <c r="M14" i="3"/>
  <c r="M13" i="3"/>
  <c r="M12" i="3"/>
  <c r="M11" i="3"/>
  <c r="M10" i="3"/>
  <c r="M9" i="3"/>
  <c r="M8" i="3"/>
  <c r="M7" i="3"/>
  <c r="M7" i="5"/>
  <c r="M8" i="5"/>
  <c r="M9" i="5"/>
  <c r="M10" i="5"/>
  <c r="M11" i="5"/>
  <c r="M6" i="5"/>
  <c r="M6" i="4"/>
  <c r="V4" i="5"/>
  <c r="V5" i="5"/>
  <c r="V6" i="5"/>
  <c r="V7" i="5"/>
  <c r="V8" i="5"/>
  <c r="V3" i="5"/>
  <c r="U4" i="5"/>
  <c r="U5" i="5"/>
  <c r="U6" i="5"/>
  <c r="U7" i="5"/>
  <c r="U8" i="5"/>
  <c r="U3" i="5"/>
  <c r="T4" i="5"/>
  <c r="T5" i="5"/>
  <c r="T6" i="5"/>
  <c r="T7" i="5"/>
  <c r="T8" i="5"/>
  <c r="T3" i="5"/>
  <c r="S4" i="5"/>
  <c r="S5" i="5"/>
  <c r="S6" i="5"/>
  <c r="S7" i="5"/>
  <c r="S8" i="5"/>
  <c r="S3" i="5"/>
  <c r="G8" i="5" l="1"/>
  <c r="G9" i="5"/>
  <c r="G10" i="5"/>
  <c r="G11" i="5"/>
  <c r="G7" i="5"/>
  <c r="G6" i="5"/>
  <c r="I6" i="3"/>
  <c r="E7" i="4"/>
  <c r="E8" i="4"/>
  <c r="I8" i="4" s="1"/>
  <c r="E9" i="4"/>
  <c r="M9" i="4" s="1"/>
  <c r="E10" i="4"/>
  <c r="E11" i="4"/>
  <c r="E12" i="4"/>
  <c r="H12" i="4" s="1"/>
  <c r="E13" i="4"/>
  <c r="I13" i="4" s="1"/>
  <c r="E14" i="4"/>
  <c r="E15" i="4"/>
  <c r="E16" i="4"/>
  <c r="M16" i="4" s="1"/>
  <c r="E17" i="4"/>
  <c r="M17" i="4" s="1"/>
  <c r="E18" i="4"/>
  <c r="M18" i="4" s="1"/>
  <c r="E6" i="4"/>
  <c r="E7" i="3"/>
  <c r="I7" i="3" s="1"/>
  <c r="E8" i="3"/>
  <c r="I8" i="3" s="1"/>
  <c r="E9" i="3"/>
  <c r="E10" i="3"/>
  <c r="W7" i="3" s="1"/>
  <c r="E11" i="3"/>
  <c r="I11" i="3" s="1"/>
  <c r="E12" i="3"/>
  <c r="I12" i="3" s="1"/>
  <c r="E13" i="3"/>
  <c r="I13" i="3" s="1"/>
  <c r="E14" i="3"/>
  <c r="E15" i="3"/>
  <c r="E16" i="3"/>
  <c r="E17" i="3"/>
  <c r="E6" i="3"/>
  <c r="W3" i="3" s="1"/>
  <c r="I7" i="4"/>
  <c r="I9" i="4"/>
  <c r="I10" i="4"/>
  <c r="I12" i="4"/>
  <c r="I15" i="4"/>
  <c r="I16" i="4"/>
  <c r="I17" i="4"/>
  <c r="I18" i="4"/>
  <c r="I6" i="4"/>
  <c r="I17" i="3"/>
  <c r="I9" i="3"/>
  <c r="I10" i="3"/>
  <c r="I14" i="3"/>
  <c r="I15" i="3"/>
  <c r="I16" i="3"/>
  <c r="I9" i="2"/>
  <c r="W6" i="2" s="1"/>
  <c r="I11" i="2"/>
  <c r="W8" i="2" s="1"/>
  <c r="I12" i="2"/>
  <c r="W9" i="2" s="1"/>
  <c r="W3" i="2"/>
  <c r="M7" i="4"/>
  <c r="M10" i="4"/>
  <c r="M11" i="4"/>
  <c r="M12" i="4"/>
  <c r="M13" i="4"/>
  <c r="M14" i="4"/>
  <c r="M15" i="4"/>
  <c r="H7" i="4"/>
  <c r="H8" i="4"/>
  <c r="H9" i="4"/>
  <c r="H10" i="4"/>
  <c r="H11" i="4"/>
  <c r="H15" i="4"/>
  <c r="H16" i="4"/>
  <c r="H17" i="4"/>
  <c r="H18" i="4"/>
  <c r="H6" i="4"/>
  <c r="W5" i="3"/>
  <c r="W6" i="3"/>
  <c r="W11" i="3"/>
  <c r="W12" i="3"/>
  <c r="W13" i="3"/>
  <c r="W14" i="3"/>
  <c r="C21" i="2"/>
  <c r="E4" i="2"/>
  <c r="I4" i="2" s="1"/>
  <c r="M7" i="2"/>
  <c r="Y4" i="2" s="1"/>
  <c r="M8" i="2"/>
  <c r="Y5" i="2" s="1"/>
  <c r="M9" i="2"/>
  <c r="Y6" i="2" s="1"/>
  <c r="H8" i="1"/>
  <c r="M6" i="2"/>
  <c r="Y3" i="2" s="1"/>
  <c r="E7" i="2"/>
  <c r="E8" i="2"/>
  <c r="E9" i="2"/>
  <c r="E10" i="2"/>
  <c r="E11" i="2"/>
  <c r="E12" i="2"/>
  <c r="E13" i="2"/>
  <c r="E14" i="2"/>
  <c r="T11" i="2" s="1"/>
  <c r="E15" i="2"/>
  <c r="T12" i="2" s="1"/>
  <c r="E16" i="2"/>
  <c r="T13" i="2" s="1"/>
  <c r="H3" i="1"/>
  <c r="H9" i="2" l="1"/>
  <c r="T6" i="2"/>
  <c r="M12" i="2"/>
  <c r="Y9" i="2" s="1"/>
  <c r="T9" i="2"/>
  <c r="M10" i="2"/>
  <c r="Y7" i="2" s="1"/>
  <c r="T7" i="2"/>
  <c r="I8" i="2"/>
  <c r="W5" i="2" s="1"/>
  <c r="T5" i="2"/>
  <c r="H16" i="2"/>
  <c r="M15" i="2"/>
  <c r="Y12" i="2" s="1"/>
  <c r="M13" i="2"/>
  <c r="Y10" i="2" s="1"/>
  <c r="T10" i="2"/>
  <c r="H11" i="2"/>
  <c r="X8" i="2" s="1"/>
  <c r="T8" i="2"/>
  <c r="H7" i="2"/>
  <c r="X4" i="2" s="1"/>
  <c r="T4" i="2"/>
  <c r="M16" i="2"/>
  <c r="Y13" i="2" s="1"/>
  <c r="I16" i="2"/>
  <c r="W13" i="2" s="1"/>
  <c r="M14" i="2"/>
  <c r="Y11" i="2" s="1"/>
  <c r="I15" i="2"/>
  <c r="W12" i="2" s="1"/>
  <c r="I14" i="2"/>
  <c r="W11" i="2" s="1"/>
  <c r="I10" i="2"/>
  <c r="W7" i="2" s="1"/>
  <c r="H4" i="2"/>
  <c r="H6" i="2"/>
  <c r="X3" i="2" s="1"/>
  <c r="H15" i="2"/>
  <c r="H14" i="2"/>
  <c r="I13" i="2"/>
  <c r="W10" i="2" s="1"/>
  <c r="H13" i="2"/>
  <c r="H12" i="2"/>
  <c r="H10" i="2"/>
  <c r="X7" i="2" s="1"/>
  <c r="M11" i="2"/>
  <c r="Y8" i="2" s="1"/>
  <c r="M4" i="2"/>
  <c r="H8" i="2"/>
  <c r="X5" i="2" s="1"/>
  <c r="I7" i="2"/>
  <c r="W4" i="2" s="1"/>
  <c r="H14" i="4"/>
  <c r="H13" i="4"/>
  <c r="I14" i="4"/>
  <c r="M8" i="4"/>
  <c r="I11" i="4"/>
  <c r="W10" i="3"/>
  <c r="W9" i="3"/>
  <c r="W8" i="3"/>
  <c r="W4" i="3"/>
  <c r="X13" i="2"/>
  <c r="X11" i="2"/>
  <c r="X12" i="2"/>
  <c r="X10" i="2"/>
  <c r="X9" i="2"/>
  <c r="X6" i="2"/>
</calcChain>
</file>

<file path=xl/sharedStrings.xml><?xml version="1.0" encoding="utf-8"?>
<sst xmlns="http://schemas.openxmlformats.org/spreadsheetml/2006/main" count="167" uniqueCount="48">
  <si>
    <t>AVL_INDEP_TIME</t>
  </si>
  <si>
    <t>SPEED</t>
  </si>
  <si>
    <t>TORQUE</t>
  </si>
  <si>
    <t>P</t>
  </si>
  <si>
    <t>MAF</t>
  </si>
  <si>
    <t>FB_RATE</t>
  </si>
  <si>
    <t>BMEP</t>
  </si>
  <si>
    <t>BSFC</t>
  </si>
  <si>
    <t>BOOST</t>
  </si>
  <si>
    <t>BaroMetric</t>
  </si>
  <si>
    <t>PMAX4</t>
  </si>
  <si>
    <t>THERM_EFF</t>
  </si>
  <si>
    <t>T_AIR</t>
  </si>
  <si>
    <t>T_EXH</t>
  </si>
  <si>
    <t>rpm</t>
  </si>
  <si>
    <t>Nm</t>
  </si>
  <si>
    <t>kW</t>
  </si>
  <si>
    <t>l/min</t>
  </si>
  <si>
    <t>kg/h</t>
  </si>
  <si>
    <t>bar</t>
  </si>
  <si>
    <t>g/kWh</t>
  </si>
  <si>
    <t>mbar</t>
  </si>
  <si>
    <t>%</t>
  </si>
  <si>
    <t>ｰC</t>
  </si>
  <si>
    <t>**</t>
  </si>
  <si>
    <t>Pre run</t>
  </si>
  <si>
    <t>Max Torque</t>
  </si>
  <si>
    <t>Max Power</t>
  </si>
  <si>
    <t>Engine Speed (rpm)</t>
  </si>
  <si>
    <t>Brake Power (kW)</t>
  </si>
  <si>
    <t>bsfc (g/kWh)</t>
  </si>
  <si>
    <t>bmep (bar)</t>
  </si>
  <si>
    <t>Brake Thermal Efficiency (%)</t>
  </si>
  <si>
    <t>Bore</t>
  </si>
  <si>
    <t>Stroke</t>
  </si>
  <si>
    <t>Cylinders</t>
  </si>
  <si>
    <t>Engine Displacement</t>
  </si>
  <si>
    <r>
      <t>Q</t>
    </r>
    <r>
      <rPr>
        <vertAlign val="subscript"/>
        <sz val="11"/>
        <color theme="1"/>
        <rFont val="Calibri"/>
        <family val="2"/>
        <scheme val="minor"/>
      </rPr>
      <t>LHV</t>
    </r>
  </si>
  <si>
    <t xml:space="preserve"> </t>
  </si>
  <si>
    <t>degC</t>
  </si>
  <si>
    <t>E. Disp</t>
  </si>
  <si>
    <t>tohr</t>
  </si>
  <si>
    <t>FB</t>
  </si>
  <si>
    <t>kgs</t>
  </si>
  <si>
    <t>eng disp</t>
  </si>
  <si>
    <t>qlhv</t>
  </si>
  <si>
    <t>Torque (Nm)</t>
  </si>
  <si>
    <t>FB_RATE (kg/h)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</si>
</sst>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vertAlign val="subscript"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33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0" fontId="18" fillId="0" borderId="0" xfId="0" applyFont="1" applyAlignment="1">
      <alignment horizontal="center" vertical="center"/>
    </xf>
    <xf numFmtId="2" fontId="0" fillId="35" borderId="0" xfId="0" applyNumberFormat="1" applyFill="1" applyAlignment="1">
      <alignment horizontal="center"/>
    </xf>
    <xf numFmtId="0" fontId="0" fillId="35" borderId="0" xfId="0" applyFill="1" applyAlignment="1">
      <alignment horizontal="center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34" borderId="10" xfId="0" applyFill="1" applyBorder="1" applyAlignment="1">
      <alignment horizontal="center"/>
    </xf>
    <xf numFmtId="2" fontId="0" fillId="34" borderId="10" xfId="0" applyNumberFormat="1" applyFill="1" applyBorder="1" applyAlignment="1">
      <alignment horizontal="center"/>
    </xf>
    <xf numFmtId="164" fontId="0" fillId="34" borderId="10" xfId="0" applyNumberFormat="1" applyFill="1" applyBorder="1" applyAlignment="1">
      <alignment horizontal="center"/>
    </xf>
    <xf numFmtId="165" fontId="0" fillId="34" borderId="10" xfId="0" applyNumberFormat="1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36" borderId="11" xfId="0" applyFill="1" applyBorder="1" applyAlignment="1">
      <alignment horizontal="center"/>
    </xf>
    <xf numFmtId="2" fontId="0" fillId="36" borderId="15" xfId="0" applyNumberFormat="1" applyFill="1" applyBorder="1" applyAlignment="1">
      <alignment horizontal="center"/>
    </xf>
    <xf numFmtId="0" fontId="0" fillId="36" borderId="15" xfId="0" applyFill="1" applyBorder="1" applyAlignment="1">
      <alignment horizontal="center"/>
    </xf>
    <xf numFmtId="164" fontId="0" fillId="36" borderId="15" xfId="0" applyNumberFormat="1" applyFill="1" applyBorder="1" applyAlignment="1">
      <alignment horizontal="center"/>
    </xf>
    <xf numFmtId="165" fontId="0" fillId="36" borderId="15" xfId="0" applyNumberFormat="1" applyFill="1" applyBorder="1" applyAlignment="1">
      <alignment horizontal="center"/>
    </xf>
    <xf numFmtId="165" fontId="0" fillId="36" borderId="16" xfId="0" applyNumberFormat="1" applyFill="1" applyBorder="1" applyAlignment="1">
      <alignment horizontal="center"/>
    </xf>
    <xf numFmtId="0" fontId="0" fillId="37" borderId="0" xfId="0" applyFill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7" borderId="14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0" borderId="10" xfId="0" applyBorder="1"/>
    <xf numFmtId="0" fontId="0" fillId="35" borderId="10" xfId="0" applyFill="1" applyBorder="1"/>
    <xf numFmtId="2" fontId="0" fillId="36" borderId="12" xfId="0" applyNumberFormat="1" applyFill="1" applyBorder="1" applyAlignment="1">
      <alignment horizontal="center"/>
    </xf>
    <xf numFmtId="164" fontId="0" fillId="36" borderId="12" xfId="0" applyNumberFormat="1" applyFill="1" applyBorder="1" applyAlignment="1">
      <alignment horizontal="center"/>
    </xf>
    <xf numFmtId="165" fontId="0" fillId="36" borderId="12" xfId="0" applyNumberFormat="1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2" fontId="0" fillId="35" borderId="10" xfId="0" applyNumberFormat="1" applyFill="1" applyBorder="1" applyAlignment="1">
      <alignment horizontal="center"/>
    </xf>
    <xf numFmtId="164" fontId="0" fillId="35" borderId="10" xfId="0" applyNumberFormat="1" applyFill="1" applyBorder="1" applyAlignment="1">
      <alignment horizontal="center"/>
    </xf>
    <xf numFmtId="2" fontId="0" fillId="37" borderId="13" xfId="0" applyNumberFormat="1" applyFill="1" applyBorder="1" applyAlignment="1">
      <alignment horizontal="center"/>
    </xf>
    <xf numFmtId="164" fontId="0" fillId="37" borderId="13" xfId="0" applyNumberFormat="1" applyFill="1" applyBorder="1" applyAlignment="1">
      <alignment horizontal="center"/>
    </xf>
    <xf numFmtId="2" fontId="0" fillId="37" borderId="10" xfId="0" applyNumberFormat="1" applyFill="1" applyBorder="1" applyAlignment="1">
      <alignment horizontal="center"/>
    </xf>
    <xf numFmtId="164" fontId="0" fillId="37" borderId="10" xfId="0" applyNumberFormat="1" applyFill="1" applyBorder="1" applyAlignment="1">
      <alignment horizontal="center"/>
    </xf>
    <xf numFmtId="0" fontId="0" fillId="37" borderId="0" xfId="0" applyFill="1"/>
    <xf numFmtId="0" fontId="0" fillId="0" borderId="17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Motosport 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motosport9!$C$1:$C$2</c:f>
              <c:strCache>
                <c:ptCount val="2"/>
                <c:pt idx="0">
                  <c:v>TORQUE</c:v>
                </c:pt>
                <c:pt idx="1">
                  <c:v>Nm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motosport9!$B$5:$B$15</c:f>
              <c:numCache>
                <c:formatCode>General</c:formatCode>
                <c:ptCount val="11"/>
                <c:pt idx="0">
                  <c:v>1000</c:v>
                </c:pt>
                <c:pt idx="1">
                  <c:v>1250</c:v>
                </c:pt>
                <c:pt idx="2">
                  <c:v>1500</c:v>
                </c:pt>
                <c:pt idx="3">
                  <c:v>1750</c:v>
                </c:pt>
                <c:pt idx="4">
                  <c:v>2000</c:v>
                </c:pt>
                <c:pt idx="5">
                  <c:v>2250</c:v>
                </c:pt>
                <c:pt idx="6">
                  <c:v>2500</c:v>
                </c:pt>
                <c:pt idx="7">
                  <c:v>2750</c:v>
                </c:pt>
                <c:pt idx="8">
                  <c:v>3000</c:v>
                </c:pt>
                <c:pt idx="9">
                  <c:v>3250</c:v>
                </c:pt>
                <c:pt idx="10">
                  <c:v>3500</c:v>
                </c:pt>
              </c:numCache>
            </c:numRef>
          </c:cat>
          <c:val>
            <c:numRef>
              <c:f>motosport9!$C$5:$C$15</c:f>
              <c:numCache>
                <c:formatCode>0.00</c:formatCode>
                <c:ptCount val="11"/>
                <c:pt idx="0">
                  <c:v>181.83500000000001</c:v>
                </c:pt>
                <c:pt idx="1">
                  <c:v>275.08</c:v>
                </c:pt>
                <c:pt idx="2">
                  <c:v>365.47399999999999</c:v>
                </c:pt>
                <c:pt idx="3">
                  <c:v>421.97800000000001</c:v>
                </c:pt>
                <c:pt idx="4">
                  <c:v>409.20400000000001</c:v>
                </c:pt>
                <c:pt idx="5">
                  <c:v>410.541</c:v>
                </c:pt>
                <c:pt idx="6">
                  <c:v>403.37099999999998</c:v>
                </c:pt>
                <c:pt idx="7">
                  <c:v>395.471</c:v>
                </c:pt>
                <c:pt idx="8">
                  <c:v>385.084</c:v>
                </c:pt>
                <c:pt idx="9">
                  <c:v>366.74200000000002</c:v>
                </c:pt>
                <c:pt idx="10">
                  <c:v>349.67500000000001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F-443B-92F1-1DB7D989FEDB}"/>
            </c:ext>
          </c:extLst>
        </c:ser>
        <c:ser>
          <c:idx val="1"/>
          <c:order val="1"/>
          <c:tx>
            <c:strRef>
              <c:f>motosport9!$D$1:$D$2</c:f>
              <c:strCache>
                <c:ptCount val="2"/>
                <c:pt idx="0">
                  <c:v>P</c:v>
                </c:pt>
                <c:pt idx="1">
                  <c:v>kW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motosport9!$B$5:$B$15</c:f>
              <c:numCache>
                <c:formatCode>General</c:formatCode>
                <c:ptCount val="11"/>
                <c:pt idx="0">
                  <c:v>1000</c:v>
                </c:pt>
                <c:pt idx="1">
                  <c:v>1250</c:v>
                </c:pt>
                <c:pt idx="2">
                  <c:v>1500</c:v>
                </c:pt>
                <c:pt idx="3">
                  <c:v>1750</c:v>
                </c:pt>
                <c:pt idx="4">
                  <c:v>2000</c:v>
                </c:pt>
                <c:pt idx="5">
                  <c:v>2250</c:v>
                </c:pt>
                <c:pt idx="6">
                  <c:v>2500</c:v>
                </c:pt>
                <c:pt idx="7">
                  <c:v>2750</c:v>
                </c:pt>
                <c:pt idx="8">
                  <c:v>3000</c:v>
                </c:pt>
                <c:pt idx="9">
                  <c:v>3250</c:v>
                </c:pt>
                <c:pt idx="10">
                  <c:v>3500</c:v>
                </c:pt>
              </c:numCache>
            </c:numRef>
          </c:cat>
          <c:val>
            <c:numRef>
              <c:f>motosport9!$D$5:$D$15</c:f>
              <c:numCache>
                <c:formatCode>General</c:formatCode>
                <c:ptCount val="11"/>
                <c:pt idx="0">
                  <c:v>19.04</c:v>
                </c:pt>
                <c:pt idx="1">
                  <c:v>36.03</c:v>
                </c:pt>
                <c:pt idx="2">
                  <c:v>57.38</c:v>
                </c:pt>
                <c:pt idx="3">
                  <c:v>77.36</c:v>
                </c:pt>
                <c:pt idx="4">
                  <c:v>85.71</c:v>
                </c:pt>
                <c:pt idx="5">
                  <c:v>96.72</c:v>
                </c:pt>
                <c:pt idx="6">
                  <c:v>105.61</c:v>
                </c:pt>
                <c:pt idx="7">
                  <c:v>113.89</c:v>
                </c:pt>
                <c:pt idx="8">
                  <c:v>120.98</c:v>
                </c:pt>
                <c:pt idx="9">
                  <c:v>124.81</c:v>
                </c:pt>
                <c:pt idx="10">
                  <c:v>128.18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5F-443B-92F1-1DB7D989FE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1012056"/>
        <c:axId val="191009432"/>
      </c:lineChart>
      <c:catAx>
        <c:axId val="191012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09432"/>
        <c:crosses val="autoZero"/>
        <c:auto val="1"/>
        <c:lblAlgn val="ctr"/>
        <c:lblOffset val="100"/>
        <c:noMultiLvlLbl val="0"/>
      </c:catAx>
      <c:valAx>
        <c:axId val="191009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1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Brake Power vs Engine Speed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lab!$S$3:$S$13</c:f>
              <c:numCache>
                <c:formatCode>General</c:formatCode>
                <c:ptCount val="11"/>
                <c:pt idx="0">
                  <c:v>1000</c:v>
                </c:pt>
                <c:pt idx="1">
                  <c:v>1250</c:v>
                </c:pt>
                <c:pt idx="2">
                  <c:v>1500</c:v>
                </c:pt>
                <c:pt idx="3">
                  <c:v>1750</c:v>
                </c:pt>
                <c:pt idx="4">
                  <c:v>2000</c:v>
                </c:pt>
                <c:pt idx="5">
                  <c:v>2250</c:v>
                </c:pt>
                <c:pt idx="6">
                  <c:v>2500</c:v>
                </c:pt>
                <c:pt idx="7">
                  <c:v>2750</c:v>
                </c:pt>
                <c:pt idx="8">
                  <c:v>3000</c:v>
                </c:pt>
                <c:pt idx="9">
                  <c:v>3250</c:v>
                </c:pt>
                <c:pt idx="10">
                  <c:v>3500</c:v>
                </c:pt>
              </c:numCache>
            </c:numRef>
          </c:xVal>
          <c:yVal>
            <c:numRef>
              <c:f>lab!$T$3:$T$13</c:f>
              <c:numCache>
                <c:formatCode>General</c:formatCode>
                <c:ptCount val="11"/>
                <c:pt idx="0">
                  <c:v>19.032063333333333</c:v>
                </c:pt>
                <c:pt idx="1">
                  <c:v>35.98963333333333</c:v>
                </c:pt>
                <c:pt idx="2">
                  <c:v>57.379418000000001</c:v>
                </c:pt>
                <c:pt idx="3">
                  <c:v>77.292303666666669</c:v>
                </c:pt>
                <c:pt idx="4">
                  <c:v>85.660037333333335</c:v>
                </c:pt>
                <c:pt idx="5">
                  <c:v>96.682405500000002</c:v>
                </c:pt>
                <c:pt idx="6">
                  <c:v>105.54874499999998</c:v>
                </c:pt>
                <c:pt idx="7">
                  <c:v>113.82973616666666</c:v>
                </c:pt>
                <c:pt idx="8">
                  <c:v>120.91637600000001</c:v>
                </c:pt>
                <c:pt idx="9">
                  <c:v>124.75340366666667</c:v>
                </c:pt>
                <c:pt idx="10">
                  <c:v>128.09760833333334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41-4C8B-B83C-C82C9C3AF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36799"/>
        <c:axId val="1016438239"/>
      </c:scatterChart>
      <c:valAx>
        <c:axId val="1016436799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Engine Speed</a:t>
                </a:r>
                <a:r>
                  <a:rPr lang="en-GB" baseline="0"/>
                  <a:t> (rpm)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38239"/>
        <c:crosses val="autoZero"/>
        <c:crossBetween val="midCat"/>
      </c:valAx>
      <c:valAx>
        <c:axId val="10164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Brake</a:t>
                </a:r>
                <a:r>
                  <a:rPr lang="en-GB" baseline="0"/>
                  <a:t> Power (kW)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3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BSFC vs Engine Speed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lab!$S$3:$S$13</c:f>
              <c:numCache>
                <c:formatCode>General</c:formatCode>
                <c:ptCount val="11"/>
                <c:pt idx="0">
                  <c:v>1000</c:v>
                </c:pt>
                <c:pt idx="1">
                  <c:v>1250</c:v>
                </c:pt>
                <c:pt idx="2">
                  <c:v>1500</c:v>
                </c:pt>
                <c:pt idx="3">
                  <c:v>1750</c:v>
                </c:pt>
                <c:pt idx="4">
                  <c:v>2000</c:v>
                </c:pt>
                <c:pt idx="5">
                  <c:v>2250</c:v>
                </c:pt>
                <c:pt idx="6">
                  <c:v>2500</c:v>
                </c:pt>
                <c:pt idx="7">
                  <c:v>2750</c:v>
                </c:pt>
                <c:pt idx="8">
                  <c:v>3000</c:v>
                </c:pt>
                <c:pt idx="9">
                  <c:v>3250</c:v>
                </c:pt>
                <c:pt idx="10">
                  <c:v>3500</c:v>
                </c:pt>
              </c:numCache>
            </c:numRef>
          </c:xVal>
          <c:yVal>
            <c:numRef>
              <c:f>lab!$W$3:$W$13</c:f>
              <c:numCache>
                <c:formatCode>General</c:formatCode>
                <c:ptCount val="11"/>
                <c:pt idx="0">
                  <c:v>277.00622405803261</c:v>
                </c:pt>
                <c:pt idx="1">
                  <c:v>249.96086836116697</c:v>
                </c:pt>
                <c:pt idx="2">
                  <c:v>230.34391878983504</c:v>
                </c:pt>
                <c:pt idx="3">
                  <c:v>227.87521091308656</c:v>
                </c:pt>
                <c:pt idx="4">
                  <c:v>216.83390036035161</c:v>
                </c:pt>
                <c:pt idx="5">
                  <c:v>219.17121207746533</c:v>
                </c:pt>
                <c:pt idx="6">
                  <c:v>222.4090869105076</c:v>
                </c:pt>
                <c:pt idx="7">
                  <c:v>226.39954082180023</c:v>
                </c:pt>
                <c:pt idx="8">
                  <c:v>231.09359479976473</c:v>
                </c:pt>
                <c:pt idx="9">
                  <c:v>235.76911840088712</c:v>
                </c:pt>
                <c:pt idx="10">
                  <c:v>242.54160873287185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8F-443F-B54E-03490ED38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36799"/>
        <c:axId val="1016438239"/>
      </c:scatterChart>
      <c:valAx>
        <c:axId val="1016436799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Engine Speed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38239"/>
        <c:crosses val="autoZero"/>
        <c:crossBetween val="midCat"/>
      </c:valAx>
      <c:valAx>
        <c:axId val="1016438239"/>
        <c:scaling>
          <c:orientation val="minMax"/>
          <c:max val="3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BSFC (g/kWh)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3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BMEP vs Engine Speed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lab!$S$3:$S$13</c:f>
              <c:numCache>
                <c:formatCode>General</c:formatCode>
                <c:ptCount val="11"/>
                <c:pt idx="0">
                  <c:v>1000</c:v>
                </c:pt>
                <c:pt idx="1">
                  <c:v>1250</c:v>
                </c:pt>
                <c:pt idx="2">
                  <c:v>1500</c:v>
                </c:pt>
                <c:pt idx="3">
                  <c:v>1750</c:v>
                </c:pt>
                <c:pt idx="4">
                  <c:v>2000</c:v>
                </c:pt>
                <c:pt idx="5">
                  <c:v>2250</c:v>
                </c:pt>
                <c:pt idx="6">
                  <c:v>2500</c:v>
                </c:pt>
                <c:pt idx="7">
                  <c:v>2750</c:v>
                </c:pt>
                <c:pt idx="8">
                  <c:v>3000</c:v>
                </c:pt>
                <c:pt idx="9">
                  <c:v>3250</c:v>
                </c:pt>
                <c:pt idx="10">
                  <c:v>3500</c:v>
                </c:pt>
              </c:numCache>
            </c:numRef>
          </c:xVal>
          <c:yVal>
            <c:numRef>
              <c:f>lab!$X$3:$X$13</c:f>
              <c:numCache>
                <c:formatCode>General</c:formatCode>
                <c:ptCount val="11"/>
                <c:pt idx="0">
                  <c:v>10.486447520184543</c:v>
                </c:pt>
                <c:pt idx="1">
                  <c:v>15.863898500576695</c:v>
                </c:pt>
                <c:pt idx="2">
                  <c:v>21.076931949250284</c:v>
                </c:pt>
                <c:pt idx="3">
                  <c:v>24.335524798154552</c:v>
                </c:pt>
                <c:pt idx="4">
                  <c:v>23.598846597462511</c:v>
                </c:pt>
                <c:pt idx="5">
                  <c:v>23.675951557093423</c:v>
                </c:pt>
                <c:pt idx="6">
                  <c:v>23.262456747404837</c:v>
                </c:pt>
                <c:pt idx="7">
                  <c:v>22.806862745098037</c:v>
                </c:pt>
                <c:pt idx="8">
                  <c:v>22.207843137254898</c:v>
                </c:pt>
                <c:pt idx="9">
                  <c:v>21.15005767012687</c:v>
                </c:pt>
                <c:pt idx="10">
                  <c:v>20.165801614763552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19-40FB-80DB-E986EEBD2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36799"/>
        <c:axId val="1016438239"/>
      </c:scatterChart>
      <c:valAx>
        <c:axId val="1016436799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Engine Speed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38239"/>
        <c:crosses val="autoZero"/>
        <c:crossBetween val="midCat"/>
      </c:valAx>
      <c:valAx>
        <c:axId val="10164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BMEP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3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Brake Thermal Efficiency vs Engine Speed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lab!$S$3:$S$13</c:f>
              <c:numCache>
                <c:formatCode>General</c:formatCode>
                <c:ptCount val="11"/>
                <c:pt idx="0">
                  <c:v>1000</c:v>
                </c:pt>
                <c:pt idx="1">
                  <c:v>1250</c:v>
                </c:pt>
                <c:pt idx="2">
                  <c:v>1500</c:v>
                </c:pt>
                <c:pt idx="3">
                  <c:v>1750</c:v>
                </c:pt>
                <c:pt idx="4">
                  <c:v>2000</c:v>
                </c:pt>
                <c:pt idx="5">
                  <c:v>2250</c:v>
                </c:pt>
                <c:pt idx="6">
                  <c:v>2500</c:v>
                </c:pt>
                <c:pt idx="7">
                  <c:v>2750</c:v>
                </c:pt>
                <c:pt idx="8">
                  <c:v>3000</c:v>
                </c:pt>
                <c:pt idx="9">
                  <c:v>3250</c:v>
                </c:pt>
                <c:pt idx="10">
                  <c:v>3500</c:v>
                </c:pt>
              </c:numCache>
            </c:numRef>
          </c:xVal>
          <c:yVal>
            <c:numRef>
              <c:f>lab!$Y$3:$Y$13</c:f>
              <c:numCache>
                <c:formatCode>General</c:formatCode>
                <c:ptCount val="11"/>
                <c:pt idx="0">
                  <c:v>30.507272008378035</c:v>
                </c:pt>
                <c:pt idx="1">
                  <c:v>33.808108768216229</c:v>
                </c:pt>
                <c:pt idx="2">
                  <c:v>36.687333747510408</c:v>
                </c:pt>
                <c:pt idx="3">
                  <c:v>37.084789484079863</c:v>
                </c:pt>
                <c:pt idx="4">
                  <c:v>38.973168915506598</c:v>
                </c:pt>
                <c:pt idx="5">
                  <c:v>38.557546610479299</c:v>
                </c:pt>
                <c:pt idx="6">
                  <c:v>37.99621833235836</c:v>
                </c:pt>
                <c:pt idx="7">
                  <c:v>37.326507795365572</c:v>
                </c:pt>
                <c:pt idx="8">
                  <c:v>36.568318705130622</c:v>
                </c:pt>
                <c:pt idx="9">
                  <c:v>35.843134515110933</c:v>
                </c:pt>
                <c:pt idx="10">
                  <c:v>34.842286523544374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1C-476A-9E12-38C6E4B14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36799"/>
        <c:axId val="1016438239"/>
      </c:scatterChart>
      <c:valAx>
        <c:axId val="1016436799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Engine Speed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38239"/>
        <c:crosses val="autoZero"/>
        <c:crossBetween val="midCat"/>
      </c:valAx>
      <c:valAx>
        <c:axId val="10164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Brake</a:t>
                </a:r>
                <a:r>
                  <a:rPr lang="en-GB" baseline="0"/>
                  <a:t> Thermal Efficiency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3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61142880"/>
        <c:axId val="661143360"/>
      </c:scatterChart>
      <c:valAx>
        <c:axId val="66114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43360"/>
        <c:crosses val="autoZero"/>
        <c:crossBetween val="midCat"/>
      </c:valAx>
      <c:valAx>
        <c:axId val="66114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4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BSFC </a:t>
            </a:r>
            <a:r>
              <a:rPr lang="en-GB" baseline="0"/>
              <a:t>vs Engine Speed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Ford/JLR DW12BTED4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lab!$C$6:$C$16</c:f>
              <c:numCache>
                <c:formatCode>General</c:formatCode>
                <c:ptCount val="11"/>
                <c:pt idx="0">
                  <c:v>1000</c:v>
                </c:pt>
                <c:pt idx="1">
                  <c:v>1250</c:v>
                </c:pt>
                <c:pt idx="2">
                  <c:v>1500</c:v>
                </c:pt>
                <c:pt idx="3">
                  <c:v>1750</c:v>
                </c:pt>
                <c:pt idx="4">
                  <c:v>2000</c:v>
                </c:pt>
                <c:pt idx="5">
                  <c:v>2250</c:v>
                </c:pt>
                <c:pt idx="6">
                  <c:v>2500</c:v>
                </c:pt>
                <c:pt idx="7">
                  <c:v>2750</c:v>
                </c:pt>
                <c:pt idx="8">
                  <c:v>3000</c:v>
                </c:pt>
                <c:pt idx="9">
                  <c:v>3250</c:v>
                </c:pt>
                <c:pt idx="10">
                  <c:v>3500</c:v>
                </c:pt>
              </c:numCache>
            </c:numRef>
          </c:xVal>
          <c:yVal>
            <c:numRef>
              <c:f>lab!$I$6:$I$16</c:f>
              <c:numCache>
                <c:formatCode>General</c:formatCode>
                <c:ptCount val="11"/>
                <c:pt idx="0">
                  <c:v>277.00622405803261</c:v>
                </c:pt>
                <c:pt idx="1">
                  <c:v>249.96086836116697</c:v>
                </c:pt>
                <c:pt idx="2">
                  <c:v>230.34391878983504</c:v>
                </c:pt>
                <c:pt idx="3">
                  <c:v>227.87521091308656</c:v>
                </c:pt>
                <c:pt idx="4">
                  <c:v>216.83390036035161</c:v>
                </c:pt>
                <c:pt idx="5">
                  <c:v>219.17121207746533</c:v>
                </c:pt>
                <c:pt idx="6">
                  <c:v>222.4090869105076</c:v>
                </c:pt>
                <c:pt idx="7">
                  <c:v>226.39954082180023</c:v>
                </c:pt>
                <c:pt idx="8">
                  <c:v>231.09359479976473</c:v>
                </c:pt>
                <c:pt idx="9">
                  <c:v>235.76911840088712</c:v>
                </c:pt>
                <c:pt idx="10">
                  <c:v>242.54160873287185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7D-437C-B727-EF1AA12B5D43}"/>
            </c:ext>
          </c:extLst>
        </c:ser>
        <c:ser>
          <c:idx val="1"/>
          <c:order val="1"/>
          <c:tx>
            <c:v>2 Litre Mondeo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Mondeo!$C$6:$C$17</c:f>
              <c:numCache>
                <c:formatCode>General</c:formatCode>
                <c:ptCount val="12"/>
                <c:pt idx="0">
                  <c:v>997.75</c:v>
                </c:pt>
                <c:pt idx="1">
                  <c:v>1229.75</c:v>
                </c:pt>
                <c:pt idx="2">
                  <c:v>1483</c:v>
                </c:pt>
                <c:pt idx="3">
                  <c:v>1805</c:v>
                </c:pt>
                <c:pt idx="4">
                  <c:v>2007.5</c:v>
                </c:pt>
                <c:pt idx="5">
                  <c:v>2242.5</c:v>
                </c:pt>
                <c:pt idx="6">
                  <c:v>2499.25</c:v>
                </c:pt>
                <c:pt idx="7">
                  <c:v>2996</c:v>
                </c:pt>
                <c:pt idx="8">
                  <c:v>3500.75</c:v>
                </c:pt>
                <c:pt idx="9">
                  <c:v>3995.25</c:v>
                </c:pt>
                <c:pt idx="10">
                  <c:v>4199.75</c:v>
                </c:pt>
                <c:pt idx="11">
                  <c:v>4499.75</c:v>
                </c:pt>
              </c:numCache>
            </c:numRef>
          </c:xVal>
          <c:yVal>
            <c:numRef>
              <c:f>Mondeo!$I$6:$I$17</c:f>
              <c:numCache>
                <c:formatCode>General</c:formatCode>
                <c:ptCount val="12"/>
                <c:pt idx="0">
                  <c:v>267.32268857660029</c:v>
                </c:pt>
                <c:pt idx="1">
                  <c:v>261.80441090225065</c:v>
                </c:pt>
                <c:pt idx="2">
                  <c:v>237.28824082208217</c:v>
                </c:pt>
                <c:pt idx="3">
                  <c:v>224.80986925837971</c:v>
                </c:pt>
                <c:pt idx="4">
                  <c:v>223.0740401396838</c:v>
                </c:pt>
                <c:pt idx="5">
                  <c:v>222.60923279374629</c:v>
                </c:pt>
                <c:pt idx="6">
                  <c:v>221.59236329006015</c:v>
                </c:pt>
                <c:pt idx="7">
                  <c:v>226.21869848543884</c:v>
                </c:pt>
                <c:pt idx="8">
                  <c:v>239.9912609805998</c:v>
                </c:pt>
                <c:pt idx="9">
                  <c:v>247.28112294106364</c:v>
                </c:pt>
                <c:pt idx="10">
                  <c:v>253.36387576799817</c:v>
                </c:pt>
                <c:pt idx="11">
                  <c:v>265.18925178615945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7D-437C-B727-EF1AA12B5D43}"/>
            </c:ext>
          </c:extLst>
        </c:ser>
        <c:ser>
          <c:idx val="2"/>
          <c:order val="2"/>
          <c:tx>
            <c:v>GM 6 Litre 2316-7P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gm!$C$6:$C$18</c:f>
              <c:numCache>
                <c:formatCode>General</c:formatCode>
                <c:ptCount val="13"/>
                <c:pt idx="0">
                  <c:v>1200</c:v>
                </c:pt>
                <c:pt idx="1">
                  <c:v>1600</c:v>
                </c:pt>
                <c:pt idx="2">
                  <c:v>2000</c:v>
                </c:pt>
                <c:pt idx="3">
                  <c:v>2399.9</c:v>
                </c:pt>
                <c:pt idx="4">
                  <c:v>2800</c:v>
                </c:pt>
                <c:pt idx="5">
                  <c:v>3200</c:v>
                </c:pt>
                <c:pt idx="6">
                  <c:v>3600</c:v>
                </c:pt>
                <c:pt idx="7">
                  <c:v>4000.2</c:v>
                </c:pt>
                <c:pt idx="8">
                  <c:v>4400.1000000000004</c:v>
                </c:pt>
                <c:pt idx="9">
                  <c:v>4800.2</c:v>
                </c:pt>
                <c:pt idx="10">
                  <c:v>5000</c:v>
                </c:pt>
                <c:pt idx="11">
                  <c:v>5199.8999999999996</c:v>
                </c:pt>
                <c:pt idx="12">
                  <c:v>5400</c:v>
                </c:pt>
              </c:numCache>
            </c:numRef>
          </c:xVal>
          <c:yVal>
            <c:numRef>
              <c:f>gm!$I$6:$I$18</c:f>
              <c:numCache>
                <c:formatCode>General</c:formatCode>
                <c:ptCount val="13"/>
                <c:pt idx="0">
                  <c:v>289.53709625171092</c:v>
                </c:pt>
                <c:pt idx="1">
                  <c:v>281.03279500085966</c:v>
                </c:pt>
                <c:pt idx="2">
                  <c:v>272.84424073990823</c:v>
                </c:pt>
                <c:pt idx="3">
                  <c:v>261.92718439353234</c:v>
                </c:pt>
                <c:pt idx="4">
                  <c:v>260.6760664176133</c:v>
                </c:pt>
                <c:pt idx="5">
                  <c:v>265.64290043584975</c:v>
                </c:pt>
                <c:pt idx="6">
                  <c:v>269.40841562123978</c:v>
                </c:pt>
                <c:pt idx="7">
                  <c:v>283.46317563307662</c:v>
                </c:pt>
                <c:pt idx="8">
                  <c:v>291.48345009703723</c:v>
                </c:pt>
                <c:pt idx="9">
                  <c:v>305.76886875737085</c:v>
                </c:pt>
                <c:pt idx="10">
                  <c:v>313.23900781465142</c:v>
                </c:pt>
                <c:pt idx="11">
                  <c:v>319.55976050123701</c:v>
                </c:pt>
                <c:pt idx="12">
                  <c:v>329.40518096790834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7D-437C-B727-EF1AA12B5D43}"/>
            </c:ext>
          </c:extLst>
        </c:ser>
        <c:ser>
          <c:idx val="3"/>
          <c:order val="3"/>
          <c:tx>
            <c:v>CAT 3645 16 Litre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CAT!$C$6:$C$87</c:f>
              <c:numCache>
                <c:formatCode>General</c:formatCode>
                <c:ptCount val="82"/>
                <c:pt idx="0">
                  <c:v>1097</c:v>
                </c:pt>
                <c:pt idx="1">
                  <c:v>1208</c:v>
                </c:pt>
                <c:pt idx="2">
                  <c:v>1501</c:v>
                </c:pt>
                <c:pt idx="3">
                  <c:v>1700</c:v>
                </c:pt>
                <c:pt idx="4">
                  <c:v>2002</c:v>
                </c:pt>
                <c:pt idx="5">
                  <c:v>2100</c:v>
                </c:pt>
                <c:pt idx="16">
                  <c:v>42600</c:v>
                </c:pt>
              </c:numCache>
            </c:numRef>
          </c:xVal>
          <c:yVal>
            <c:numRef>
              <c:f>CAT!$I$6:$I$87</c:f>
              <c:numCache>
                <c:formatCode>General</c:formatCode>
                <c:ptCount val="82"/>
                <c:pt idx="0">
                  <c:v>272.7</c:v>
                </c:pt>
                <c:pt idx="1">
                  <c:v>272.7</c:v>
                </c:pt>
                <c:pt idx="2">
                  <c:v>272.7</c:v>
                </c:pt>
                <c:pt idx="3">
                  <c:v>272.7</c:v>
                </c:pt>
                <c:pt idx="4">
                  <c:v>272.7</c:v>
                </c:pt>
                <c:pt idx="5">
                  <c:v>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7D-437C-B727-EF1AA12B5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006495"/>
        <c:axId val="1102005055"/>
      </c:scatterChart>
      <c:valAx>
        <c:axId val="1102006495"/>
        <c:scaling>
          <c:orientation val="minMax"/>
          <c:max val="55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Engine Speed</a:t>
                </a:r>
                <a:r>
                  <a:rPr lang="en-GB" baseline="0"/>
                  <a:t>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005055"/>
        <c:crosses val="autoZero"/>
        <c:crossBetween val="midCat"/>
      </c:valAx>
      <c:valAx>
        <c:axId val="1102005055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BSFC</a:t>
                </a:r>
                <a:r>
                  <a:rPr lang="en-GB" baseline="0"/>
                  <a:t> (g/kWh)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006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BMEP </a:t>
            </a:r>
            <a:r>
              <a:rPr lang="en-GB" baseline="0"/>
              <a:t>vs Engine Speed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Ford/JLR DW12BTED4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lab!$C$6:$C$16</c:f>
              <c:numCache>
                <c:formatCode>General</c:formatCode>
                <c:ptCount val="11"/>
                <c:pt idx="0">
                  <c:v>1000</c:v>
                </c:pt>
                <c:pt idx="1">
                  <c:v>1250</c:v>
                </c:pt>
                <c:pt idx="2">
                  <c:v>1500</c:v>
                </c:pt>
                <c:pt idx="3">
                  <c:v>1750</c:v>
                </c:pt>
                <c:pt idx="4">
                  <c:v>2000</c:v>
                </c:pt>
                <c:pt idx="5">
                  <c:v>2250</c:v>
                </c:pt>
                <c:pt idx="6">
                  <c:v>2500</c:v>
                </c:pt>
                <c:pt idx="7">
                  <c:v>2750</c:v>
                </c:pt>
                <c:pt idx="8">
                  <c:v>3000</c:v>
                </c:pt>
                <c:pt idx="9">
                  <c:v>3250</c:v>
                </c:pt>
                <c:pt idx="10">
                  <c:v>3500</c:v>
                </c:pt>
              </c:numCache>
            </c:numRef>
          </c:xVal>
          <c:yVal>
            <c:numRef>
              <c:f>lab!$H$6:$H$16</c:f>
              <c:numCache>
                <c:formatCode>General</c:formatCode>
                <c:ptCount val="11"/>
                <c:pt idx="0">
                  <c:v>10.486447520184543</c:v>
                </c:pt>
                <c:pt idx="1">
                  <c:v>15.863898500576695</c:v>
                </c:pt>
                <c:pt idx="2">
                  <c:v>21.076931949250284</c:v>
                </c:pt>
                <c:pt idx="3">
                  <c:v>24.335524798154552</c:v>
                </c:pt>
                <c:pt idx="4">
                  <c:v>23.598846597462511</c:v>
                </c:pt>
                <c:pt idx="5">
                  <c:v>23.675951557093423</c:v>
                </c:pt>
                <c:pt idx="6">
                  <c:v>23.262456747404837</c:v>
                </c:pt>
                <c:pt idx="7">
                  <c:v>22.806862745098037</c:v>
                </c:pt>
                <c:pt idx="8">
                  <c:v>22.207843137254898</c:v>
                </c:pt>
                <c:pt idx="9">
                  <c:v>21.15005767012687</c:v>
                </c:pt>
                <c:pt idx="10">
                  <c:v>20.165801614763552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46-40BC-81E1-4B39773FC627}"/>
            </c:ext>
          </c:extLst>
        </c:ser>
        <c:ser>
          <c:idx val="1"/>
          <c:order val="1"/>
          <c:tx>
            <c:v>2 Litre Mondeo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Mondeo!$C$6:$C$17</c:f>
              <c:numCache>
                <c:formatCode>General</c:formatCode>
                <c:ptCount val="12"/>
                <c:pt idx="0">
                  <c:v>997.75</c:v>
                </c:pt>
                <c:pt idx="1">
                  <c:v>1229.75</c:v>
                </c:pt>
                <c:pt idx="2">
                  <c:v>1483</c:v>
                </c:pt>
                <c:pt idx="3">
                  <c:v>1805</c:v>
                </c:pt>
                <c:pt idx="4">
                  <c:v>2007.5</c:v>
                </c:pt>
                <c:pt idx="5">
                  <c:v>2242.5</c:v>
                </c:pt>
                <c:pt idx="6">
                  <c:v>2499.25</c:v>
                </c:pt>
                <c:pt idx="7">
                  <c:v>2996</c:v>
                </c:pt>
                <c:pt idx="8">
                  <c:v>3500.75</c:v>
                </c:pt>
                <c:pt idx="9">
                  <c:v>3995.25</c:v>
                </c:pt>
                <c:pt idx="10">
                  <c:v>4199.75</c:v>
                </c:pt>
                <c:pt idx="11">
                  <c:v>4499.75</c:v>
                </c:pt>
              </c:numCache>
            </c:numRef>
          </c:xVal>
          <c:yVal>
            <c:numRef>
              <c:f>Mondeo!$H$6:$H$17</c:f>
              <c:numCache>
                <c:formatCode>General</c:formatCode>
                <c:ptCount val="12"/>
                <c:pt idx="0">
                  <c:v>9.4527840315947103</c:v>
                </c:pt>
                <c:pt idx="1">
                  <c:v>13.5817443747091</c:v>
                </c:pt>
                <c:pt idx="2">
                  <c:v>17.752956972342101</c:v>
                </c:pt>
                <c:pt idx="3">
                  <c:v>20.616305482536099</c:v>
                </c:pt>
                <c:pt idx="4">
                  <c:v>20.756820154200302</c:v>
                </c:pt>
                <c:pt idx="5">
                  <c:v>20.464000025154998</c:v>
                </c:pt>
                <c:pt idx="6">
                  <c:v>19.8400373552014</c:v>
                </c:pt>
                <c:pt idx="7">
                  <c:v>18.094907995522401</c:v>
                </c:pt>
                <c:pt idx="8">
                  <c:v>16.5649722665929</c:v>
                </c:pt>
                <c:pt idx="9">
                  <c:v>13.6515099299433</c:v>
                </c:pt>
                <c:pt idx="10">
                  <c:v>12.4566465845775</c:v>
                </c:pt>
                <c:pt idx="11">
                  <c:v>10.598516482825399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46-40BC-81E1-4B39773FC627}"/>
            </c:ext>
          </c:extLst>
        </c:ser>
        <c:ser>
          <c:idx val="2"/>
          <c:order val="2"/>
          <c:tx>
            <c:v>GM 6 Litre 2316-7P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gm!$C$6:$C$18</c:f>
              <c:numCache>
                <c:formatCode>General</c:formatCode>
                <c:ptCount val="13"/>
                <c:pt idx="0">
                  <c:v>1200</c:v>
                </c:pt>
                <c:pt idx="1">
                  <c:v>1600</c:v>
                </c:pt>
                <c:pt idx="2">
                  <c:v>2000</c:v>
                </c:pt>
                <c:pt idx="3">
                  <c:v>2399.9</c:v>
                </c:pt>
                <c:pt idx="4">
                  <c:v>2800</c:v>
                </c:pt>
                <c:pt idx="5">
                  <c:v>3200</c:v>
                </c:pt>
                <c:pt idx="6">
                  <c:v>3600</c:v>
                </c:pt>
                <c:pt idx="7">
                  <c:v>4000.2</c:v>
                </c:pt>
                <c:pt idx="8">
                  <c:v>4400.1000000000004</c:v>
                </c:pt>
                <c:pt idx="9">
                  <c:v>4800.2</c:v>
                </c:pt>
                <c:pt idx="10">
                  <c:v>5000</c:v>
                </c:pt>
                <c:pt idx="11">
                  <c:v>5199.8999999999996</c:v>
                </c:pt>
                <c:pt idx="12">
                  <c:v>5400</c:v>
                </c:pt>
              </c:numCache>
            </c:numRef>
          </c:xVal>
          <c:yVal>
            <c:numRef>
              <c:f>gm!$H$6:$H$18</c:f>
              <c:numCache>
                <c:formatCode>General</c:formatCode>
                <c:ptCount val="13"/>
                <c:pt idx="0">
                  <c:v>8.5172621413333349</c:v>
                </c:pt>
                <c:pt idx="1">
                  <c:v>9.0366420053333343</c:v>
                </c:pt>
                <c:pt idx="2">
                  <c:v>9.4197910853333351</c:v>
                </c:pt>
                <c:pt idx="3">
                  <c:v>9.7177959253333324</c:v>
                </c:pt>
                <c:pt idx="4">
                  <c:v>9.7206340666666655</c:v>
                </c:pt>
                <c:pt idx="5">
                  <c:v>9.9221421013333355</c:v>
                </c:pt>
                <c:pt idx="6">
                  <c:v>10.152031549333332</c:v>
                </c:pt>
                <c:pt idx="7">
                  <c:v>10.319481888</c:v>
                </c:pt>
                <c:pt idx="8">
                  <c:v>10.188927386666666</c:v>
                </c:pt>
                <c:pt idx="9">
                  <c:v>9.9391709493333344</c:v>
                </c:pt>
                <c:pt idx="10">
                  <c:v>9.6553568159999994</c:v>
                </c:pt>
                <c:pt idx="11">
                  <c:v>9.2693695946666672</c:v>
                </c:pt>
                <c:pt idx="12">
                  <c:v>8.7812092853333343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46-40BC-81E1-4B39773FC627}"/>
            </c:ext>
          </c:extLst>
        </c:ser>
        <c:ser>
          <c:idx val="3"/>
          <c:order val="3"/>
          <c:tx>
            <c:v>CAT 3645 16 Litre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CAT!$C$6:$C$87</c:f>
              <c:numCache>
                <c:formatCode>General</c:formatCode>
                <c:ptCount val="82"/>
                <c:pt idx="0">
                  <c:v>1097</c:v>
                </c:pt>
                <c:pt idx="1">
                  <c:v>1208</c:v>
                </c:pt>
                <c:pt idx="2">
                  <c:v>1501</c:v>
                </c:pt>
                <c:pt idx="3">
                  <c:v>1700</c:v>
                </c:pt>
                <c:pt idx="4">
                  <c:v>2002</c:v>
                </c:pt>
                <c:pt idx="5">
                  <c:v>2100</c:v>
                </c:pt>
                <c:pt idx="16">
                  <c:v>42600</c:v>
                </c:pt>
              </c:numCache>
            </c:numRef>
          </c:xVal>
          <c:yVal>
            <c:numRef>
              <c:f>CAT!$H$6:$H$87</c:f>
              <c:numCache>
                <c:formatCode>General</c:formatCode>
                <c:ptCount val="82"/>
                <c:pt idx="0">
                  <c:v>20.59</c:v>
                </c:pt>
                <c:pt idx="1">
                  <c:v>20.47</c:v>
                </c:pt>
                <c:pt idx="2">
                  <c:v>20.95</c:v>
                </c:pt>
                <c:pt idx="3">
                  <c:v>18.8</c:v>
                </c:pt>
                <c:pt idx="4">
                  <c:v>15.32</c:v>
                </c:pt>
                <c:pt idx="5">
                  <c:v>14.2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46-40BC-81E1-4B39773FC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006495"/>
        <c:axId val="1102005055"/>
      </c:scatterChart>
      <c:valAx>
        <c:axId val="1102006495"/>
        <c:scaling>
          <c:orientation val="minMax"/>
          <c:max val="55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Engine</a:t>
                </a:r>
                <a:r>
                  <a:rPr lang="en-GB" baseline="0"/>
                  <a:t> Speed (rpm)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005055"/>
        <c:crosses val="autoZero"/>
        <c:crossBetween val="midCat"/>
      </c:valAx>
      <c:valAx>
        <c:axId val="1102005055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BMEP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006495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Thermal</a:t>
            </a:r>
            <a:r>
              <a:rPr lang="en-GB" baseline="0"/>
              <a:t> Efficiency vs Engine Speed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808237266029632E-2"/>
          <c:y val="7.9188677624415324E-2"/>
          <c:w val="0.74526400319056629"/>
          <c:h val="0.73889505398375988"/>
        </c:manualLayout>
      </c:layout>
      <c:scatterChart>
        <c:scatterStyle val="smoothMarker"/>
        <c:varyColors val="0"/>
        <c:ser>
          <c:idx val="0"/>
          <c:order val="0"/>
          <c:tx>
            <c:v>Ford/JLR DW12BTED4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lab!$C$6:$C$16</c:f>
              <c:numCache>
                <c:formatCode>General</c:formatCode>
                <c:ptCount val="11"/>
                <c:pt idx="0">
                  <c:v>1000</c:v>
                </c:pt>
                <c:pt idx="1">
                  <c:v>1250</c:v>
                </c:pt>
                <c:pt idx="2">
                  <c:v>1500</c:v>
                </c:pt>
                <c:pt idx="3">
                  <c:v>1750</c:v>
                </c:pt>
                <c:pt idx="4">
                  <c:v>2000</c:v>
                </c:pt>
                <c:pt idx="5">
                  <c:v>2250</c:v>
                </c:pt>
                <c:pt idx="6">
                  <c:v>2500</c:v>
                </c:pt>
                <c:pt idx="7">
                  <c:v>2750</c:v>
                </c:pt>
                <c:pt idx="8">
                  <c:v>3000</c:v>
                </c:pt>
                <c:pt idx="9">
                  <c:v>3250</c:v>
                </c:pt>
                <c:pt idx="10">
                  <c:v>3500</c:v>
                </c:pt>
              </c:numCache>
            </c:numRef>
          </c:xVal>
          <c:yVal>
            <c:numRef>
              <c:f>lab!$M$6:$M$16</c:f>
              <c:numCache>
                <c:formatCode>General</c:formatCode>
                <c:ptCount val="11"/>
                <c:pt idx="0">
                  <c:v>30.507272008378035</c:v>
                </c:pt>
                <c:pt idx="1">
                  <c:v>33.808108768216229</c:v>
                </c:pt>
                <c:pt idx="2">
                  <c:v>36.687333747510408</c:v>
                </c:pt>
                <c:pt idx="3">
                  <c:v>37.084789484079863</c:v>
                </c:pt>
                <c:pt idx="4">
                  <c:v>38.973168915506598</c:v>
                </c:pt>
                <c:pt idx="5">
                  <c:v>38.557546610479299</c:v>
                </c:pt>
                <c:pt idx="6">
                  <c:v>37.99621833235836</c:v>
                </c:pt>
                <c:pt idx="7">
                  <c:v>37.326507795365572</c:v>
                </c:pt>
                <c:pt idx="8">
                  <c:v>36.568318705130622</c:v>
                </c:pt>
                <c:pt idx="9">
                  <c:v>35.843134515110933</c:v>
                </c:pt>
                <c:pt idx="10">
                  <c:v>34.842286523544374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8C-4988-BA10-AC4B27B9D8A0}"/>
            </c:ext>
          </c:extLst>
        </c:ser>
        <c:ser>
          <c:idx val="1"/>
          <c:order val="1"/>
          <c:tx>
            <c:v>2 Litre Mondeo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Mondeo!$C$6:$C$17</c:f>
              <c:numCache>
                <c:formatCode>General</c:formatCode>
                <c:ptCount val="12"/>
                <c:pt idx="0">
                  <c:v>997.75</c:v>
                </c:pt>
                <c:pt idx="1">
                  <c:v>1229.75</c:v>
                </c:pt>
                <c:pt idx="2">
                  <c:v>1483</c:v>
                </c:pt>
                <c:pt idx="3">
                  <c:v>1805</c:v>
                </c:pt>
                <c:pt idx="4">
                  <c:v>2007.5</c:v>
                </c:pt>
                <c:pt idx="5">
                  <c:v>2242.5</c:v>
                </c:pt>
                <c:pt idx="6">
                  <c:v>2499.25</c:v>
                </c:pt>
                <c:pt idx="7">
                  <c:v>2996</c:v>
                </c:pt>
                <c:pt idx="8">
                  <c:v>3500.75</c:v>
                </c:pt>
                <c:pt idx="9">
                  <c:v>3995.25</c:v>
                </c:pt>
                <c:pt idx="10">
                  <c:v>4199.75</c:v>
                </c:pt>
                <c:pt idx="11">
                  <c:v>4499.75</c:v>
                </c:pt>
              </c:numCache>
            </c:numRef>
          </c:xVal>
          <c:yVal>
            <c:numRef>
              <c:f>Mondeo!$M$6:$M$17</c:f>
              <c:numCache>
                <c:formatCode>General</c:formatCode>
                <c:ptCount val="12"/>
                <c:pt idx="0">
                  <c:v>31.612371813066641</c:v>
                </c:pt>
                <c:pt idx="1">
                  <c:v>32.278693075600373</c:v>
                </c:pt>
                <c:pt idx="2">
                  <c:v>35.613666299159</c:v>
                </c:pt>
                <c:pt idx="3">
                  <c:v>37.590450335787985</c:v>
                </c:pt>
                <c:pt idx="4">
                  <c:v>37.882956797933439</c:v>
                </c:pt>
                <c:pt idx="5">
                  <c:v>37.962056287134892</c:v>
                </c:pt>
                <c:pt idx="6">
                  <c:v>38.136261105218253</c:v>
                </c:pt>
                <c:pt idx="7">
                  <c:v>37.356347118653694</c:v>
                </c:pt>
                <c:pt idx="8">
                  <c:v>35.212549785449241</c:v>
                </c:pt>
                <c:pt idx="9">
                  <c:v>34.174481759233331</c:v>
                </c:pt>
                <c:pt idx="10">
                  <c:v>33.354021759164695</c:v>
                </c:pt>
                <c:pt idx="11">
                  <c:v>31.866692064000034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8C-4988-BA10-AC4B27B9D8A0}"/>
            </c:ext>
          </c:extLst>
        </c:ser>
        <c:ser>
          <c:idx val="2"/>
          <c:order val="2"/>
          <c:tx>
            <c:v>GM 6 Litre 2316-7P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gm!$C$6:$C$18</c:f>
              <c:numCache>
                <c:formatCode>General</c:formatCode>
                <c:ptCount val="13"/>
                <c:pt idx="0">
                  <c:v>1200</c:v>
                </c:pt>
                <c:pt idx="1">
                  <c:v>1600</c:v>
                </c:pt>
                <c:pt idx="2">
                  <c:v>2000</c:v>
                </c:pt>
                <c:pt idx="3">
                  <c:v>2399.9</c:v>
                </c:pt>
                <c:pt idx="4">
                  <c:v>2800</c:v>
                </c:pt>
                <c:pt idx="5">
                  <c:v>3200</c:v>
                </c:pt>
                <c:pt idx="6">
                  <c:v>3600</c:v>
                </c:pt>
                <c:pt idx="7">
                  <c:v>4000.2</c:v>
                </c:pt>
                <c:pt idx="8">
                  <c:v>4400.1000000000004</c:v>
                </c:pt>
                <c:pt idx="9">
                  <c:v>4800.2</c:v>
                </c:pt>
                <c:pt idx="10">
                  <c:v>5000</c:v>
                </c:pt>
                <c:pt idx="11">
                  <c:v>5199.8999999999996</c:v>
                </c:pt>
                <c:pt idx="12">
                  <c:v>5400</c:v>
                </c:pt>
              </c:numCache>
            </c:numRef>
          </c:xVal>
          <c:yVal>
            <c:numRef>
              <c:f>gm!$M$6:$M$18</c:f>
              <c:numCache>
                <c:formatCode>General</c:formatCode>
                <c:ptCount val="13"/>
                <c:pt idx="0">
                  <c:v>28.648939921552525</c:v>
                </c:pt>
                <c:pt idx="1">
                  <c:v>29.515882214211558</c:v>
                </c:pt>
                <c:pt idx="2">
                  <c:v>30.401707776867713</c:v>
                </c:pt>
                <c:pt idx="3">
                  <c:v>31.66884298314497</c:v>
                </c:pt>
                <c:pt idx="4">
                  <c:v>31.820837983212595</c:v>
                </c:pt>
                <c:pt idx="5">
                  <c:v>31.225870753429696</c:v>
                </c:pt>
                <c:pt idx="6">
                  <c:v>30.789427481129049</c:v>
                </c:pt>
                <c:pt idx="7">
                  <c:v>29.262816438327242</c:v>
                </c:pt>
                <c:pt idx="8">
                  <c:v>28.457639268420166</c:v>
                </c:pt>
                <c:pt idx="9">
                  <c:v>27.128107937496104</c:v>
                </c:pt>
                <c:pt idx="10">
                  <c:v>26.481155503098393</c:v>
                </c:pt>
                <c:pt idx="11">
                  <c:v>25.957369797014628</c:v>
                </c:pt>
                <c:pt idx="12">
                  <c:v>25.181543445074578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8C-4988-BA10-AC4B27B9D8A0}"/>
            </c:ext>
          </c:extLst>
        </c:ser>
        <c:ser>
          <c:idx val="3"/>
          <c:order val="3"/>
          <c:tx>
            <c:v>CAT 3645 16 Litre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CAT!$C$6:$C$87</c:f>
              <c:numCache>
                <c:formatCode>General</c:formatCode>
                <c:ptCount val="82"/>
                <c:pt idx="0">
                  <c:v>1097</c:v>
                </c:pt>
                <c:pt idx="1">
                  <c:v>1208</c:v>
                </c:pt>
                <c:pt idx="2">
                  <c:v>1501</c:v>
                </c:pt>
                <c:pt idx="3">
                  <c:v>1700</c:v>
                </c:pt>
                <c:pt idx="4">
                  <c:v>2002</c:v>
                </c:pt>
                <c:pt idx="5">
                  <c:v>2100</c:v>
                </c:pt>
                <c:pt idx="16">
                  <c:v>42600</c:v>
                </c:pt>
              </c:numCache>
            </c:numRef>
          </c:xVal>
          <c:yVal>
            <c:numRef>
              <c:f>CAT!$M$6:$M$87</c:f>
              <c:numCache>
                <c:formatCode>General</c:formatCode>
                <c:ptCount val="82"/>
                <c:pt idx="0">
                  <c:v>59.483686332943073</c:v>
                </c:pt>
                <c:pt idx="1">
                  <c:v>38.4738398899947</c:v>
                </c:pt>
                <c:pt idx="2">
                  <c:v>59.28248525664258</c:v>
                </c:pt>
                <c:pt idx="3">
                  <c:v>49.942811781477594</c:v>
                </c:pt>
                <c:pt idx="4">
                  <c:v>38.027053851214973</c:v>
                </c:pt>
                <c:pt idx="5">
                  <c:v>49.057702318306404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8C-4988-BA10-AC4B27B9D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006495"/>
        <c:axId val="1102005055"/>
      </c:scatterChart>
      <c:valAx>
        <c:axId val="1102006495"/>
        <c:scaling>
          <c:orientation val="minMax"/>
          <c:max val="55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Engine Speed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005055"/>
        <c:crosses val="autoZero"/>
        <c:crossBetween val="midCat"/>
      </c:valAx>
      <c:valAx>
        <c:axId val="1102005055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THermal 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006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159639656276373"/>
          <c:y val="0.39479775648188492"/>
          <c:w val="0.17018416292872685"/>
          <c:h val="0.206278762126056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17</xdr:row>
      <xdr:rowOff>9525</xdr:rowOff>
    </xdr:from>
    <xdr:to>
      <xdr:col>14</xdr:col>
      <xdr:colOff>28574</xdr:colOff>
      <xdr:row>37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17</xdr:row>
      <xdr:rowOff>176212</xdr:rowOff>
    </xdr:from>
    <xdr:to>
      <xdr:col>12</xdr:col>
      <xdr:colOff>761999</xdr:colOff>
      <xdr:row>33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958B4-272B-9007-3C35-C6DBA2274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9524</xdr:colOff>
      <xdr:row>18</xdr:row>
      <xdr:rowOff>47625</xdr:rowOff>
    </xdr:from>
    <xdr:to>
      <xdr:col>20</xdr:col>
      <xdr:colOff>209549</xdr:colOff>
      <xdr:row>33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60C0B7-8715-4D75-89BB-99A429FF5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228601</xdr:colOff>
      <xdr:row>34</xdr:row>
      <xdr:rowOff>38100</xdr:rowOff>
    </xdr:from>
    <xdr:to>
      <xdr:col>12</xdr:col>
      <xdr:colOff>752475</xdr:colOff>
      <xdr:row>50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4FB82F-E75B-469C-9B56-43A5D5189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34</xdr:row>
      <xdr:rowOff>28575</xdr:rowOff>
    </xdr:from>
    <xdr:to>
      <xdr:col>20</xdr:col>
      <xdr:colOff>180975</xdr:colOff>
      <xdr:row>50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9B4C54-80B2-435A-8E2F-032921704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213294</xdr:colOff>
      <xdr:row>51</xdr:row>
      <xdr:rowOff>12375</xdr:rowOff>
    </xdr:from>
    <xdr:to>
      <xdr:col>12</xdr:col>
      <xdr:colOff>381000</xdr:colOff>
      <xdr:row>65</xdr:row>
      <xdr:rowOff>134165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0E98C4-7FAD-0978-9F6F-438267442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496358</xdr:colOff>
      <xdr:row>1</xdr:row>
      <xdr:rowOff>1058</xdr:rowOff>
    </xdr:from>
    <xdr:to>
      <xdr:col>18</xdr:col>
      <xdr:colOff>15875</xdr:colOff>
      <xdr:row>32</xdr:row>
      <xdr:rowOff>43921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D4B173-9054-476B-A715-23342F380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10584</xdr:colOff>
      <xdr:row>0</xdr:row>
      <xdr:rowOff>169334</xdr:rowOff>
    </xdr:from>
    <xdr:to>
      <xdr:col>34</xdr:col>
      <xdr:colOff>148167</xdr:colOff>
      <xdr:row>32</xdr:row>
      <xdr:rowOff>21697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F4D4AA-B910-44A9-8B80-488A32D29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9525</xdr:colOff>
      <xdr:row>34</xdr:row>
      <xdr:rowOff>9525</xdr:rowOff>
    </xdr:from>
    <xdr:to>
      <xdr:col>34</xdr:col>
      <xdr:colOff>142875</xdr:colOff>
      <xdr:row>65</xdr:row>
      <xdr:rowOff>52388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5C39BD-CC30-4FD7-88A9-E8E2320EC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5"/>
  <sheetViews>
    <sheetView tabSelected="1" zoomScaleNormal="100" workbookViewId="0">
      <selection activeCell="A20" sqref="A20"/>
    </sheetView>
  </sheetViews>
  <sheetFormatPr defaultRowHeight="15"/>
  <cols>
    <col min="1" max="1" width="19.28515625" style="1" customWidth="1"/>
    <col min="2" max="2" width="12" style="1" customWidth="1"/>
    <col min="3" max="3" width="15.85546875" style="2" customWidth="1"/>
    <col min="4" max="4" width="14" style="1" customWidth="1"/>
    <col min="5" max="5" width="14.42578125" style="1" customWidth="1"/>
    <col min="6" max="6" width="13.140625" style="3" customWidth="1"/>
    <col min="7" max="7" width="13.140625" style="2" customWidth="1"/>
    <col min="8" max="8" width="14.140625" style="2" customWidth="1"/>
    <col min="9" max="9" width="12.28515625" style="2" customWidth="1"/>
    <col min="10" max="10" width="16.28515625" style="4" customWidth="1"/>
    <col min="11" max="11" width="12.5703125" style="2" customWidth="1"/>
    <col min="12" max="12" width="16.5703125" style="1" customWidth="1"/>
    <col min="13" max="13" width="14.5703125" style="4" customWidth="1"/>
    <col min="14" max="14" width="13.5703125" style="4" customWidth="1"/>
    <col min="15" max="16" width="9.140625" style="1"/>
    <col min="17" max="17" width="11.5703125" style="1" customWidth="1"/>
    <col min="18" max="18" width="9.140625" style="1"/>
    <col min="19" max="19" width="21.140625" style="1" customWidth="1"/>
    <col min="20" max="20" width="17.140625" style="1" customWidth="1"/>
    <col min="21" max="21" width="12.28515625" style="1" customWidth="1"/>
    <col min="22" max="22" width="15" style="1" customWidth="1"/>
    <col min="23" max="23" width="27.7109375" style="1" customWidth="1"/>
    <col min="24" max="16384" width="9.140625" style="1"/>
  </cols>
  <sheetData>
    <row r="1" spans="1:2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1" t="s">
        <v>11</v>
      </c>
      <c r="M1" s="4" t="s">
        <v>12</v>
      </c>
      <c r="N1" s="4" t="s">
        <v>13</v>
      </c>
    </row>
    <row r="2" spans="1:23">
      <c r="B2" s="1" t="s">
        <v>14</v>
      </c>
      <c r="C2" s="2" t="s">
        <v>15</v>
      </c>
      <c r="D2" s="1" t="s">
        <v>16</v>
      </c>
      <c r="E2" s="1" t="s">
        <v>17</v>
      </c>
      <c r="F2" s="3" t="s">
        <v>18</v>
      </c>
      <c r="G2" s="2" t="s">
        <v>19</v>
      </c>
      <c r="H2" s="2" t="s">
        <v>20</v>
      </c>
      <c r="I2" s="2" t="s">
        <v>19</v>
      </c>
      <c r="J2" s="4" t="s">
        <v>21</v>
      </c>
      <c r="K2" s="2" t="s">
        <v>19</v>
      </c>
      <c r="L2" s="1" t="s">
        <v>22</v>
      </c>
      <c r="M2" s="4" t="s">
        <v>23</v>
      </c>
      <c r="N2" s="4" t="s">
        <v>23</v>
      </c>
    </row>
    <row r="3" spans="1:23">
      <c r="B3" s="1">
        <v>1250</v>
      </c>
      <c r="C3" s="2">
        <v>111.66800000000001</v>
      </c>
      <c r="D3" s="1">
        <v>14.62</v>
      </c>
      <c r="E3" s="1">
        <v>963</v>
      </c>
      <c r="F3" s="3">
        <v>3.621</v>
      </c>
      <c r="G3" s="2">
        <v>6.44</v>
      </c>
      <c r="H3" s="8">
        <f>SUM((F3*1000)/D3)</f>
        <v>247.67441860465118</v>
      </c>
      <c r="I3" s="2">
        <v>9.2999999999999999E-2</v>
      </c>
      <c r="J3" s="4">
        <v>1008.5</v>
      </c>
      <c r="K3" s="2">
        <v>52.8</v>
      </c>
      <c r="L3" s="9" t="s">
        <v>24</v>
      </c>
      <c r="M3" s="4">
        <v>13.13</v>
      </c>
      <c r="N3" s="4">
        <v>139</v>
      </c>
      <c r="Q3" s="1" t="s">
        <v>25</v>
      </c>
      <c r="S3" s="7" t="s">
        <v>28</v>
      </c>
      <c r="T3" s="1" t="s">
        <v>29</v>
      </c>
      <c r="U3" s="1" t="s">
        <v>30</v>
      </c>
      <c r="V3" s="1" t="s">
        <v>31</v>
      </c>
      <c r="W3" s="1" t="s">
        <v>32</v>
      </c>
    </row>
    <row r="4" spans="1:23">
      <c r="S4" s="7">
        <v>1000</v>
      </c>
      <c r="T4" s="1">
        <v>19</v>
      </c>
      <c r="U4" s="1">
        <v>277.39999999999998</v>
      </c>
      <c r="V4" s="1">
        <v>10.5</v>
      </c>
      <c r="W4" s="1">
        <v>29.5</v>
      </c>
    </row>
    <row r="5" spans="1:23">
      <c r="A5" s="1">
        <v>1</v>
      </c>
      <c r="B5" s="1">
        <v>1000</v>
      </c>
      <c r="C5" s="2">
        <v>181.83500000000001</v>
      </c>
      <c r="D5" s="1">
        <v>19.04</v>
      </c>
      <c r="E5" s="1">
        <v>999</v>
      </c>
      <c r="F5" s="3">
        <v>5.2720000000000002</v>
      </c>
      <c r="G5" s="2">
        <v>10.488</v>
      </c>
      <c r="H5" s="2">
        <v>277.39999999999998</v>
      </c>
      <c r="I5" s="2">
        <v>0.23</v>
      </c>
      <c r="J5" s="4">
        <v>1008.9</v>
      </c>
      <c r="K5" s="2">
        <v>88.82</v>
      </c>
      <c r="L5" s="1">
        <v>29.52</v>
      </c>
      <c r="M5" s="4">
        <v>12.75</v>
      </c>
      <c r="N5" s="4">
        <v>250</v>
      </c>
      <c r="S5" s="7">
        <v>1250</v>
      </c>
      <c r="T5" s="1">
        <v>36</v>
      </c>
      <c r="U5" s="1">
        <v>249.7</v>
      </c>
      <c r="V5" s="1">
        <v>15.9</v>
      </c>
      <c r="W5" s="1">
        <v>32.799999999999997</v>
      </c>
    </row>
    <row r="6" spans="1:23">
      <c r="A6" s="1">
        <v>2</v>
      </c>
      <c r="B6" s="1">
        <v>1250</v>
      </c>
      <c r="C6" s="2">
        <v>275.08</v>
      </c>
      <c r="D6" s="1">
        <v>36.03</v>
      </c>
      <c r="E6" s="1">
        <v>1704</v>
      </c>
      <c r="F6" s="3">
        <v>8.9960000000000004</v>
      </c>
      <c r="G6" s="2">
        <v>15.861000000000001</v>
      </c>
      <c r="H6" s="2">
        <v>249.7</v>
      </c>
      <c r="I6" s="2">
        <v>0.625</v>
      </c>
      <c r="J6" s="4">
        <v>1008.9</v>
      </c>
      <c r="K6" s="2">
        <v>125.13</v>
      </c>
      <c r="L6" s="1">
        <v>32.770000000000003</v>
      </c>
      <c r="M6" s="4">
        <v>12.86</v>
      </c>
      <c r="N6" s="4">
        <v>338.9</v>
      </c>
      <c r="S6" s="7">
        <v>1500</v>
      </c>
      <c r="T6" s="1">
        <v>57.4</v>
      </c>
      <c r="U6" s="1">
        <v>230.4</v>
      </c>
      <c r="V6" s="1">
        <v>21.1</v>
      </c>
      <c r="W6" s="1">
        <v>35.5</v>
      </c>
    </row>
    <row r="7" spans="1:23">
      <c r="A7" s="1">
        <v>3</v>
      </c>
      <c r="B7" s="1">
        <v>1500</v>
      </c>
      <c r="C7" s="2">
        <v>365.47399999999999</v>
      </c>
      <c r="D7" s="1">
        <v>57.38</v>
      </c>
      <c r="E7" s="1">
        <v>2507</v>
      </c>
      <c r="F7" s="3">
        <v>13.217000000000001</v>
      </c>
      <c r="G7" s="2">
        <v>21.074999999999999</v>
      </c>
      <c r="H7" s="2">
        <v>230.4</v>
      </c>
      <c r="I7" s="2">
        <v>1.056</v>
      </c>
      <c r="J7" s="4">
        <v>1009</v>
      </c>
      <c r="K7" s="2">
        <v>154.15</v>
      </c>
      <c r="L7" s="1">
        <v>35.520000000000003</v>
      </c>
      <c r="M7" s="4">
        <v>12.89</v>
      </c>
      <c r="N7" s="4">
        <v>423.5</v>
      </c>
      <c r="S7" s="7">
        <v>1750</v>
      </c>
      <c r="T7" s="1">
        <v>77.400000000000006</v>
      </c>
      <c r="V7" s="1">
        <v>24.3</v>
      </c>
    </row>
    <row r="8" spans="1:23">
      <c r="A8" s="1">
        <v>4</v>
      </c>
      <c r="B8" s="1">
        <v>1750</v>
      </c>
      <c r="C8" s="5">
        <v>421.97800000000001</v>
      </c>
      <c r="D8" s="1">
        <v>77.36</v>
      </c>
      <c r="E8" s="1">
        <v>3314</v>
      </c>
      <c r="F8" s="3">
        <v>17.613</v>
      </c>
      <c r="G8" s="2">
        <v>24.335999999999999</v>
      </c>
      <c r="H8" s="8">
        <f>SUM((F8*1000)/D8)</f>
        <v>227.67580144777662</v>
      </c>
      <c r="I8" s="2">
        <v>1.3169999999999999</v>
      </c>
      <c r="J8" s="4">
        <v>1009.1</v>
      </c>
      <c r="K8" s="2">
        <v>158.21</v>
      </c>
      <c r="L8" s="9" t="s">
        <v>24</v>
      </c>
      <c r="M8" s="4">
        <v>13.03</v>
      </c>
      <c r="N8" s="4">
        <v>508.4</v>
      </c>
      <c r="Q8" s="1" t="s">
        <v>26</v>
      </c>
      <c r="S8" s="7">
        <v>2000</v>
      </c>
      <c r="T8" s="1">
        <v>85.7</v>
      </c>
      <c r="U8" s="1">
        <v>216.7</v>
      </c>
      <c r="V8" s="1">
        <v>23.6</v>
      </c>
      <c r="W8" s="1">
        <v>37.799999999999997</v>
      </c>
    </row>
    <row r="9" spans="1:23">
      <c r="A9" s="1">
        <v>5</v>
      </c>
      <c r="B9" s="1">
        <v>2000</v>
      </c>
      <c r="C9" s="2">
        <v>409.20400000000001</v>
      </c>
      <c r="D9" s="1">
        <v>85.71</v>
      </c>
      <c r="E9" s="1">
        <v>4057</v>
      </c>
      <c r="F9" s="3">
        <v>18.574000000000002</v>
      </c>
      <c r="G9" s="2">
        <v>23.6</v>
      </c>
      <c r="H9" s="2">
        <v>216.7</v>
      </c>
      <c r="I9" s="2">
        <v>1.4770000000000001</v>
      </c>
      <c r="J9" s="4">
        <v>1009.2</v>
      </c>
      <c r="K9" s="2">
        <v>152.63</v>
      </c>
      <c r="L9" s="1">
        <v>37.76</v>
      </c>
      <c r="M9" s="4">
        <v>13.22</v>
      </c>
      <c r="N9" s="4">
        <v>508.6</v>
      </c>
      <c r="S9" s="7">
        <v>2250</v>
      </c>
      <c r="T9" s="1">
        <v>96.7</v>
      </c>
      <c r="U9" s="1">
        <v>219.2</v>
      </c>
      <c r="V9" s="1">
        <v>23.7</v>
      </c>
      <c r="W9" s="1">
        <v>37.299999999999997</v>
      </c>
    </row>
    <row r="10" spans="1:23">
      <c r="A10" s="1">
        <v>6</v>
      </c>
      <c r="B10" s="1">
        <v>2250</v>
      </c>
      <c r="C10" s="2">
        <v>410.541</v>
      </c>
      <c r="D10" s="1">
        <v>96.72</v>
      </c>
      <c r="E10" s="1">
        <v>4652</v>
      </c>
      <c r="F10" s="3">
        <v>21.19</v>
      </c>
      <c r="G10" s="2">
        <v>23.677</v>
      </c>
      <c r="H10" s="2">
        <v>219.2</v>
      </c>
      <c r="I10" s="2">
        <v>1.5289999999999999</v>
      </c>
      <c r="J10" s="4">
        <v>1009.2</v>
      </c>
      <c r="K10" s="2">
        <v>155.05000000000001</v>
      </c>
      <c r="L10" s="1">
        <v>37.33</v>
      </c>
      <c r="M10" s="4">
        <v>13.22</v>
      </c>
      <c r="N10" s="4">
        <v>520.1</v>
      </c>
      <c r="S10" s="7">
        <v>2500</v>
      </c>
      <c r="T10" s="1">
        <v>105.6</v>
      </c>
      <c r="U10" s="1">
        <v>222.3</v>
      </c>
      <c r="V10" s="1">
        <v>23.3</v>
      </c>
      <c r="W10" s="1">
        <v>36.799999999999997</v>
      </c>
    </row>
    <row r="11" spans="1:23">
      <c r="A11" s="1">
        <v>7</v>
      </c>
      <c r="B11" s="1">
        <v>2500</v>
      </c>
      <c r="C11" s="2">
        <v>403.37099999999998</v>
      </c>
      <c r="D11" s="1">
        <v>105.61</v>
      </c>
      <c r="E11" s="1">
        <v>5186</v>
      </c>
      <c r="F11" s="3">
        <v>23.475000000000001</v>
      </c>
      <c r="G11" s="2">
        <v>23.263999999999999</v>
      </c>
      <c r="H11" s="2">
        <v>222.3</v>
      </c>
      <c r="I11" s="2">
        <v>1.5469999999999999</v>
      </c>
      <c r="J11" s="4">
        <v>1009.3</v>
      </c>
      <c r="K11" s="2">
        <v>156.88</v>
      </c>
      <c r="L11" s="1">
        <v>36.81</v>
      </c>
      <c r="M11" s="4">
        <v>13.31</v>
      </c>
      <c r="N11" s="4">
        <v>541.70000000000005</v>
      </c>
      <c r="S11" s="7">
        <v>2750</v>
      </c>
      <c r="T11" s="1">
        <v>113.9</v>
      </c>
      <c r="U11" s="1">
        <v>226.3</v>
      </c>
      <c r="V11" s="1">
        <v>22.8</v>
      </c>
      <c r="W11" s="1">
        <v>36.200000000000003</v>
      </c>
    </row>
    <row r="12" spans="1:23">
      <c r="A12" s="1">
        <v>8</v>
      </c>
      <c r="B12" s="1">
        <v>2750</v>
      </c>
      <c r="C12" s="2">
        <v>395.471</v>
      </c>
      <c r="D12" s="1">
        <v>113.89</v>
      </c>
      <c r="E12" s="1">
        <v>5731</v>
      </c>
      <c r="F12" s="3">
        <v>25.771000000000001</v>
      </c>
      <c r="G12" s="2">
        <v>22.806000000000001</v>
      </c>
      <c r="H12" s="2">
        <v>226.3</v>
      </c>
      <c r="I12" s="2">
        <v>1.5760000000000001</v>
      </c>
      <c r="J12" s="4">
        <v>1009.2</v>
      </c>
      <c r="K12" s="2">
        <v>161.6</v>
      </c>
      <c r="L12" s="1">
        <v>36.159999999999997</v>
      </c>
      <c r="M12" s="4">
        <v>13.32</v>
      </c>
      <c r="N12" s="4">
        <v>561.1</v>
      </c>
      <c r="S12" s="7">
        <v>3000</v>
      </c>
      <c r="T12" s="1">
        <v>121</v>
      </c>
      <c r="U12" s="1">
        <v>230.9</v>
      </c>
      <c r="V12" s="1">
        <v>22.2</v>
      </c>
      <c r="W12" s="1">
        <v>35.4</v>
      </c>
    </row>
    <row r="13" spans="1:23">
      <c r="A13" s="1">
        <v>9</v>
      </c>
      <c r="B13" s="1">
        <v>3000</v>
      </c>
      <c r="C13" s="2">
        <v>385.084</v>
      </c>
      <c r="D13" s="1">
        <v>120.98</v>
      </c>
      <c r="E13" s="1">
        <v>6379</v>
      </c>
      <c r="F13" s="3">
        <v>27.943000000000001</v>
      </c>
      <c r="G13" s="2">
        <v>22.207999999999998</v>
      </c>
      <c r="H13" s="2">
        <v>230.9</v>
      </c>
      <c r="I13" s="2">
        <v>1.643</v>
      </c>
      <c r="J13" s="4">
        <v>1009.2</v>
      </c>
      <c r="K13" s="2">
        <v>165.71</v>
      </c>
      <c r="L13" s="1">
        <v>35.43</v>
      </c>
      <c r="M13" s="4">
        <v>13.39</v>
      </c>
      <c r="N13" s="4">
        <v>575.6</v>
      </c>
      <c r="S13" s="7">
        <v>3250</v>
      </c>
      <c r="T13" s="1">
        <v>124.8</v>
      </c>
      <c r="U13" s="1">
        <v>235.6</v>
      </c>
      <c r="V13" s="1">
        <v>21.2</v>
      </c>
      <c r="W13" s="1">
        <v>34.700000000000003</v>
      </c>
    </row>
    <row r="14" spans="1:23">
      <c r="A14" s="1">
        <v>10</v>
      </c>
      <c r="B14" s="1">
        <v>3250</v>
      </c>
      <c r="C14" s="2">
        <v>366.74200000000002</v>
      </c>
      <c r="D14" s="1">
        <v>124.81</v>
      </c>
      <c r="E14" s="1">
        <v>7163</v>
      </c>
      <c r="F14" s="3">
        <v>29.413</v>
      </c>
      <c r="G14" s="2">
        <v>21.151</v>
      </c>
      <c r="H14" s="2">
        <v>235.6</v>
      </c>
      <c r="I14" s="2">
        <v>1.696</v>
      </c>
      <c r="J14" s="4">
        <v>1009.2</v>
      </c>
      <c r="K14" s="2">
        <v>172.56</v>
      </c>
      <c r="L14" s="1">
        <v>34.729999999999997</v>
      </c>
      <c r="M14" s="4">
        <v>13.45</v>
      </c>
      <c r="N14" s="4">
        <v>574.4</v>
      </c>
      <c r="S14" s="7">
        <v>3500</v>
      </c>
      <c r="T14" s="1">
        <v>128.19999999999999</v>
      </c>
      <c r="U14" s="1">
        <v>242.4</v>
      </c>
      <c r="V14" s="1">
        <v>20.2</v>
      </c>
      <c r="W14" s="1">
        <v>33.799999999999997</v>
      </c>
    </row>
    <row r="15" spans="1:23">
      <c r="A15" s="1">
        <v>11</v>
      </c>
      <c r="B15" s="1">
        <v>3500</v>
      </c>
      <c r="C15" s="2">
        <v>349.67500000000001</v>
      </c>
      <c r="D15" s="6">
        <v>128.18</v>
      </c>
      <c r="E15" s="1">
        <v>7802</v>
      </c>
      <c r="F15" s="3">
        <v>31.068999999999999</v>
      </c>
      <c r="G15" s="2">
        <v>20.166</v>
      </c>
      <c r="H15" s="2">
        <v>242.4</v>
      </c>
      <c r="I15" s="2">
        <v>1.7390000000000001</v>
      </c>
      <c r="J15" s="4">
        <v>1009.3</v>
      </c>
      <c r="K15" s="2">
        <v>178.51</v>
      </c>
      <c r="L15" s="1">
        <v>33.76</v>
      </c>
      <c r="M15" s="4">
        <v>13.52</v>
      </c>
      <c r="N15" s="4">
        <v>572.5</v>
      </c>
      <c r="Q15" s="1" t="s">
        <v>27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27A0-A27C-4FA7-8C0F-725AA348719F}">
  <dimension ref="A1:Z24"/>
  <sheetViews>
    <sheetView topLeftCell="F1" zoomScale="94" zoomScaleNormal="117" workbookViewId="0">
      <selection activeCell="W24" sqref="W24"/>
    </sheetView>
  </sheetViews>
  <sheetFormatPr defaultRowHeight="15"/>
  <cols>
    <col min="1" max="1" width="12.28515625" style="1" customWidth="1"/>
    <col min="2" max="2" width="17.7109375" style="1" customWidth="1"/>
    <col min="3" max="3" width="8.28515625" style="1" customWidth="1"/>
    <col min="4" max="4" width="9.140625" style="1"/>
    <col min="5" max="5" width="12.42578125" style="1" customWidth="1"/>
    <col min="6" max="10" width="9.140625" style="1"/>
    <col min="11" max="11" width="11.140625" style="1" customWidth="1"/>
    <col min="12" max="12" width="9.140625" style="1"/>
    <col min="13" max="13" width="11.42578125" style="1" customWidth="1"/>
    <col min="14" max="14" width="8.7109375" style="1" customWidth="1"/>
    <col min="15" max="15" width="8.5703125" style="1" customWidth="1"/>
    <col min="16" max="18" width="9.140625" style="1"/>
    <col min="19" max="19" width="17.42578125" style="1" customWidth="1"/>
    <col min="20" max="20" width="16.5703125" style="1" customWidth="1"/>
    <col min="21" max="21" width="14.140625" style="1" customWidth="1"/>
    <col min="22" max="22" width="14.5703125" style="1" customWidth="1"/>
    <col min="23" max="23" width="15.85546875" style="1" customWidth="1"/>
    <col min="24" max="24" width="13.7109375" style="1" customWidth="1"/>
    <col min="25" max="25" width="24.85546875" style="1" customWidth="1"/>
    <col min="26" max="16384" width="9.140625" style="1"/>
  </cols>
  <sheetData>
    <row r="1" spans="1:26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R1" s="33"/>
      <c r="S1" s="33"/>
      <c r="T1" s="33"/>
      <c r="U1" s="33"/>
      <c r="V1" s="33"/>
      <c r="W1" s="33"/>
      <c r="X1" s="33"/>
      <c r="Y1" s="33"/>
      <c r="Z1" s="33"/>
    </row>
    <row r="2" spans="1:26">
      <c r="A2" s="33"/>
      <c r="B2" s="14" t="s">
        <v>0</v>
      </c>
      <c r="C2" s="14" t="s">
        <v>1</v>
      </c>
      <c r="D2" s="15" t="s">
        <v>2</v>
      </c>
      <c r="E2" s="14" t="s">
        <v>3</v>
      </c>
      <c r="F2" s="14" t="s">
        <v>4</v>
      </c>
      <c r="G2" s="16" t="s">
        <v>5</v>
      </c>
      <c r="H2" s="15" t="s">
        <v>6</v>
      </c>
      <c r="I2" s="15" t="s">
        <v>7</v>
      </c>
      <c r="J2" s="15" t="s">
        <v>8</v>
      </c>
      <c r="K2" s="17" t="s">
        <v>9</v>
      </c>
      <c r="L2" s="15" t="s">
        <v>10</v>
      </c>
      <c r="M2" s="14" t="s">
        <v>11</v>
      </c>
      <c r="N2" s="17" t="s">
        <v>12</v>
      </c>
      <c r="O2" s="17" t="s">
        <v>13</v>
      </c>
      <c r="P2" s="33"/>
      <c r="R2" s="33"/>
      <c r="S2" s="37" t="s">
        <v>28</v>
      </c>
      <c r="T2" s="37" t="s">
        <v>29</v>
      </c>
      <c r="U2" s="46" t="s">
        <v>46</v>
      </c>
      <c r="V2" s="47" t="s">
        <v>47</v>
      </c>
      <c r="W2" s="37" t="s">
        <v>30</v>
      </c>
      <c r="X2" s="37" t="s">
        <v>31</v>
      </c>
      <c r="Y2" s="37" t="s">
        <v>32</v>
      </c>
      <c r="Z2" s="38"/>
    </row>
    <row r="3" spans="1:26">
      <c r="A3" s="33"/>
      <c r="B3" s="14"/>
      <c r="C3" s="10" t="s">
        <v>14</v>
      </c>
      <c r="D3" s="11" t="s">
        <v>15</v>
      </c>
      <c r="E3" s="10" t="s">
        <v>16</v>
      </c>
      <c r="F3" s="10" t="s">
        <v>17</v>
      </c>
      <c r="G3" s="12" t="s">
        <v>18</v>
      </c>
      <c r="H3" s="11" t="s">
        <v>19</v>
      </c>
      <c r="I3" s="11" t="s">
        <v>20</v>
      </c>
      <c r="J3" s="11" t="s">
        <v>19</v>
      </c>
      <c r="K3" s="13" t="s">
        <v>21</v>
      </c>
      <c r="L3" s="11" t="s">
        <v>19</v>
      </c>
      <c r="M3" s="10" t="s">
        <v>22</v>
      </c>
      <c r="N3" s="13" t="s">
        <v>23</v>
      </c>
      <c r="O3" s="13" t="s">
        <v>23</v>
      </c>
      <c r="P3" s="33"/>
      <c r="R3" s="33"/>
      <c r="S3" s="10">
        <v>1000</v>
      </c>
      <c r="T3" s="39">
        <f>SUM(E6)</f>
        <v>19.032063333333333</v>
      </c>
      <c r="U3" s="48">
        <v>181.83500000000001</v>
      </c>
      <c r="V3" s="49">
        <v>5.2720000000000002</v>
      </c>
      <c r="W3" s="39">
        <f t="shared" ref="W3:W13" si="0">SUM(I6)</f>
        <v>277.00622405803261</v>
      </c>
      <c r="X3" s="39">
        <f t="shared" ref="X3:X13" si="1">SUM(H6)</f>
        <v>10.486447520184543</v>
      </c>
      <c r="Y3" s="39">
        <f t="shared" ref="Y3:Y13" si="2">SUM(M6)</f>
        <v>30.507272008378035</v>
      </c>
      <c r="Z3" s="33"/>
    </row>
    <row r="4" spans="1:26">
      <c r="A4" s="33"/>
      <c r="B4" s="14"/>
      <c r="C4" s="19">
        <v>1250</v>
      </c>
      <c r="D4" s="20">
        <v>111.66800000000001</v>
      </c>
      <c r="E4" s="34">
        <f>SUM(((2*3.14)*C4*D4)/60000)</f>
        <v>14.609896666666668</v>
      </c>
      <c r="F4" s="19">
        <v>963</v>
      </c>
      <c r="G4" s="21">
        <v>3.621</v>
      </c>
      <c r="H4" s="34">
        <f>SUM(((E4*120)/($C$21*C4))/100)</f>
        <v>6.4399077277970003</v>
      </c>
      <c r="I4" s="34">
        <f>SUM((G4*1000)/E4)</f>
        <v>247.84569546350886</v>
      </c>
      <c r="J4" s="20">
        <v>9.2999999999999999E-2</v>
      </c>
      <c r="K4" s="22">
        <v>1008.5</v>
      </c>
      <c r="L4" s="20">
        <v>52.8</v>
      </c>
      <c r="M4" s="34">
        <f>SUM(((E4*3600)/($C$22*G4))*100)</f>
        <v>34.096635043622683</v>
      </c>
      <c r="N4" s="22">
        <v>13.13</v>
      </c>
      <c r="O4" s="22">
        <v>139</v>
      </c>
      <c r="P4" s="33"/>
      <c r="R4" s="33"/>
      <c r="S4" s="10">
        <v>1250</v>
      </c>
      <c r="T4" s="39">
        <f t="shared" ref="T4:T13" si="3">SUM(E7)</f>
        <v>35.98963333333333</v>
      </c>
      <c r="U4" s="50">
        <v>275.08</v>
      </c>
      <c r="V4" s="51">
        <v>8.9960000000000004</v>
      </c>
      <c r="W4" s="39">
        <f t="shared" si="0"/>
        <v>249.96086836116697</v>
      </c>
      <c r="X4" s="39">
        <f t="shared" si="1"/>
        <v>15.863898500576695</v>
      </c>
      <c r="Y4" s="39">
        <f t="shared" si="2"/>
        <v>33.808108768216229</v>
      </c>
      <c r="Z4" s="33"/>
    </row>
    <row r="5" spans="1:26">
      <c r="A5" s="33"/>
      <c r="B5" s="18"/>
      <c r="C5" s="27"/>
      <c r="D5" s="28"/>
      <c r="E5" s="29"/>
      <c r="F5" s="29"/>
      <c r="G5" s="30"/>
      <c r="H5" s="29"/>
      <c r="I5" s="29"/>
      <c r="J5" s="28"/>
      <c r="K5" s="31"/>
      <c r="L5" s="28"/>
      <c r="M5" s="35"/>
      <c r="N5" s="31"/>
      <c r="O5" s="32"/>
      <c r="P5" s="33"/>
      <c r="R5" s="33"/>
      <c r="S5" s="10">
        <v>1500</v>
      </c>
      <c r="T5" s="39">
        <f t="shared" si="3"/>
        <v>57.379418000000001</v>
      </c>
      <c r="U5" s="50">
        <v>365.47399999999999</v>
      </c>
      <c r="V5" s="51">
        <v>13.217000000000001</v>
      </c>
      <c r="W5" s="39">
        <f t="shared" si="0"/>
        <v>230.34391878983504</v>
      </c>
      <c r="X5" s="39">
        <f t="shared" si="1"/>
        <v>21.076931949250284</v>
      </c>
      <c r="Y5" s="39">
        <f t="shared" si="2"/>
        <v>36.687333747510408</v>
      </c>
      <c r="Z5" s="33"/>
    </row>
    <row r="6" spans="1:26">
      <c r="A6" s="33"/>
      <c r="B6" s="14">
        <v>1</v>
      </c>
      <c r="C6" s="23">
        <v>1000</v>
      </c>
      <c r="D6" s="24">
        <v>181.83500000000001</v>
      </c>
      <c r="E6" s="36">
        <f>SUM(((2*3.14)*C6*D6)/60000)</f>
        <v>19.032063333333333</v>
      </c>
      <c r="F6" s="23">
        <v>999</v>
      </c>
      <c r="G6" s="25">
        <v>5.2720000000000002</v>
      </c>
      <c r="H6" s="36">
        <f>SUM(((E6*120)/($C$21*C6))/100)</f>
        <v>10.486447520184543</v>
      </c>
      <c r="I6" s="36">
        <f>SUM((G6*1000)/E6)</f>
        <v>277.00622405803261</v>
      </c>
      <c r="J6" s="24">
        <v>0.23</v>
      </c>
      <c r="K6" s="26">
        <v>1008.9</v>
      </c>
      <c r="L6" s="24">
        <v>88.82</v>
      </c>
      <c r="M6" s="34">
        <f>SUM(((E6*3600)/($C$22*G6))*100)</f>
        <v>30.507272008378035</v>
      </c>
      <c r="N6" s="26">
        <v>12.75</v>
      </c>
      <c r="O6" s="26">
        <v>250</v>
      </c>
      <c r="P6" s="33"/>
      <c r="R6" s="33"/>
      <c r="S6" s="10">
        <v>1750</v>
      </c>
      <c r="T6" s="39">
        <f t="shared" si="3"/>
        <v>77.292303666666669</v>
      </c>
      <c r="U6" s="50">
        <v>421.97800000000001</v>
      </c>
      <c r="V6" s="51">
        <v>17.613</v>
      </c>
      <c r="W6" s="39">
        <f t="shared" si="0"/>
        <v>227.87521091308656</v>
      </c>
      <c r="X6" s="39">
        <f t="shared" si="1"/>
        <v>24.335524798154552</v>
      </c>
      <c r="Y6" s="39">
        <f t="shared" si="2"/>
        <v>37.084789484079863</v>
      </c>
      <c r="Z6" s="33"/>
    </row>
    <row r="7" spans="1:26">
      <c r="A7" s="33"/>
      <c r="B7" s="14">
        <v>2</v>
      </c>
      <c r="C7" s="10">
        <v>1250</v>
      </c>
      <c r="D7" s="11">
        <v>275.08</v>
      </c>
      <c r="E7" s="37">
        <f t="shared" ref="E7:E16" si="4">SUM(((2*3.14)*C7*D7)/60000)</f>
        <v>35.98963333333333</v>
      </c>
      <c r="F7" s="10">
        <v>1704</v>
      </c>
      <c r="G7" s="12">
        <v>8.9960000000000004</v>
      </c>
      <c r="H7" s="36">
        <f t="shared" ref="H7:H16" si="5">SUM(((E7*120)/($C$21*C7))/100)</f>
        <v>15.863898500576695</v>
      </c>
      <c r="I7" s="36">
        <f t="shared" ref="I7:I16" si="6">SUM((G7*1000)/E7)</f>
        <v>249.96086836116697</v>
      </c>
      <c r="J7" s="11">
        <v>0.625</v>
      </c>
      <c r="K7" s="13">
        <v>1008.9</v>
      </c>
      <c r="L7" s="11">
        <v>125.13</v>
      </c>
      <c r="M7" s="34">
        <f t="shared" ref="M7:M16" si="7">SUM(((E7*3600)/($C$22*G7))*100)</f>
        <v>33.808108768216229</v>
      </c>
      <c r="N7" s="13">
        <v>12.86</v>
      </c>
      <c r="O7" s="13">
        <v>338.9</v>
      </c>
      <c r="P7" s="33"/>
      <c r="R7" s="33"/>
      <c r="S7" s="10">
        <v>2000</v>
      </c>
      <c r="T7" s="39">
        <f t="shared" si="3"/>
        <v>85.660037333333335</v>
      </c>
      <c r="U7" s="50">
        <v>409.20400000000001</v>
      </c>
      <c r="V7" s="51">
        <v>18.574000000000002</v>
      </c>
      <c r="W7" s="39">
        <f t="shared" si="0"/>
        <v>216.83390036035161</v>
      </c>
      <c r="X7" s="39">
        <f t="shared" si="1"/>
        <v>23.598846597462511</v>
      </c>
      <c r="Y7" s="39">
        <f t="shared" si="2"/>
        <v>38.973168915506598</v>
      </c>
      <c r="Z7" s="33"/>
    </row>
    <row r="8" spans="1:26">
      <c r="A8" s="33"/>
      <c r="B8" s="14">
        <v>3</v>
      </c>
      <c r="C8" s="10">
        <v>1500</v>
      </c>
      <c r="D8" s="11">
        <v>365.47399999999999</v>
      </c>
      <c r="E8" s="37">
        <f t="shared" si="4"/>
        <v>57.379418000000001</v>
      </c>
      <c r="F8" s="10">
        <v>2507</v>
      </c>
      <c r="G8" s="12">
        <v>13.217000000000001</v>
      </c>
      <c r="H8" s="36">
        <f t="shared" si="5"/>
        <v>21.076931949250284</v>
      </c>
      <c r="I8" s="36">
        <f t="shared" si="6"/>
        <v>230.34391878983504</v>
      </c>
      <c r="J8" s="11">
        <v>1.056</v>
      </c>
      <c r="K8" s="13">
        <v>1009</v>
      </c>
      <c r="L8" s="11">
        <v>154.15</v>
      </c>
      <c r="M8" s="34">
        <f t="shared" si="7"/>
        <v>36.687333747510408</v>
      </c>
      <c r="N8" s="13">
        <v>12.89</v>
      </c>
      <c r="O8" s="13">
        <v>423.5</v>
      </c>
      <c r="P8" s="33"/>
      <c r="R8" s="33"/>
      <c r="S8" s="10">
        <v>2250</v>
      </c>
      <c r="T8" s="39">
        <f t="shared" si="3"/>
        <v>96.682405500000002</v>
      </c>
      <c r="U8" s="50">
        <v>410.541</v>
      </c>
      <c r="V8" s="51">
        <v>21.19</v>
      </c>
      <c r="W8" s="39">
        <f t="shared" si="0"/>
        <v>219.17121207746533</v>
      </c>
      <c r="X8" s="39">
        <f t="shared" si="1"/>
        <v>23.675951557093423</v>
      </c>
      <c r="Y8" s="39">
        <f t="shared" si="2"/>
        <v>38.557546610479299</v>
      </c>
      <c r="Z8" s="33"/>
    </row>
    <row r="9" spans="1:26">
      <c r="A9" s="33"/>
      <c r="B9" s="14">
        <v>4</v>
      </c>
      <c r="C9" s="10">
        <v>1750</v>
      </c>
      <c r="D9" s="11">
        <v>421.97800000000001</v>
      </c>
      <c r="E9" s="37">
        <f t="shared" si="4"/>
        <v>77.292303666666669</v>
      </c>
      <c r="F9" s="10">
        <v>3314</v>
      </c>
      <c r="G9" s="12">
        <v>17.613</v>
      </c>
      <c r="H9" s="36">
        <f t="shared" si="5"/>
        <v>24.335524798154552</v>
      </c>
      <c r="I9" s="36">
        <f t="shared" si="6"/>
        <v>227.87521091308656</v>
      </c>
      <c r="J9" s="11">
        <v>1.3169999999999999</v>
      </c>
      <c r="K9" s="13">
        <v>1009.1</v>
      </c>
      <c r="L9" s="11">
        <v>158.21</v>
      </c>
      <c r="M9" s="34">
        <f t="shared" si="7"/>
        <v>37.084789484079863</v>
      </c>
      <c r="N9" s="13">
        <v>13.03</v>
      </c>
      <c r="O9" s="13">
        <v>508.4</v>
      </c>
      <c r="P9" s="33"/>
      <c r="R9" s="33"/>
      <c r="S9" s="10">
        <v>2500</v>
      </c>
      <c r="T9" s="39">
        <f t="shared" si="3"/>
        <v>105.54874499999998</v>
      </c>
      <c r="U9" s="50">
        <v>403.37099999999998</v>
      </c>
      <c r="V9" s="51">
        <v>23.475000000000001</v>
      </c>
      <c r="W9" s="39">
        <f t="shared" si="0"/>
        <v>222.4090869105076</v>
      </c>
      <c r="X9" s="39">
        <f t="shared" si="1"/>
        <v>23.262456747404837</v>
      </c>
      <c r="Y9" s="39">
        <f t="shared" si="2"/>
        <v>37.99621833235836</v>
      </c>
      <c r="Z9" s="33"/>
    </row>
    <row r="10" spans="1:26">
      <c r="A10" s="33"/>
      <c r="B10" s="14">
        <v>5</v>
      </c>
      <c r="C10" s="10">
        <v>2000</v>
      </c>
      <c r="D10" s="11">
        <v>409.20400000000001</v>
      </c>
      <c r="E10" s="37">
        <f t="shared" si="4"/>
        <v>85.660037333333335</v>
      </c>
      <c r="F10" s="10">
        <v>4057</v>
      </c>
      <c r="G10" s="12">
        <v>18.574000000000002</v>
      </c>
      <c r="H10" s="36">
        <f t="shared" si="5"/>
        <v>23.598846597462511</v>
      </c>
      <c r="I10" s="36">
        <f t="shared" si="6"/>
        <v>216.83390036035161</v>
      </c>
      <c r="J10" s="11">
        <v>1.4770000000000001</v>
      </c>
      <c r="K10" s="13">
        <v>1009.2</v>
      </c>
      <c r="L10" s="11">
        <v>152.63</v>
      </c>
      <c r="M10" s="34">
        <f t="shared" si="7"/>
        <v>38.973168915506598</v>
      </c>
      <c r="N10" s="13">
        <v>13.22</v>
      </c>
      <c r="O10" s="13">
        <v>508.6</v>
      </c>
      <c r="P10" s="33"/>
      <c r="R10" s="33"/>
      <c r="S10" s="10">
        <v>2750</v>
      </c>
      <c r="T10" s="39">
        <f t="shared" si="3"/>
        <v>113.82973616666666</v>
      </c>
      <c r="U10" s="50">
        <v>395.471</v>
      </c>
      <c r="V10" s="51">
        <v>25.771000000000001</v>
      </c>
      <c r="W10" s="39">
        <f t="shared" si="0"/>
        <v>226.39954082180023</v>
      </c>
      <c r="X10" s="39">
        <f t="shared" si="1"/>
        <v>22.806862745098037</v>
      </c>
      <c r="Y10" s="39">
        <f t="shared" si="2"/>
        <v>37.326507795365572</v>
      </c>
      <c r="Z10" s="33"/>
    </row>
    <row r="11" spans="1:26">
      <c r="A11" s="33"/>
      <c r="B11" s="14">
        <v>6</v>
      </c>
      <c r="C11" s="10">
        <v>2250</v>
      </c>
      <c r="D11" s="11">
        <v>410.541</v>
      </c>
      <c r="E11" s="37">
        <f t="shared" si="4"/>
        <v>96.682405500000002</v>
      </c>
      <c r="F11" s="10">
        <v>4652</v>
      </c>
      <c r="G11" s="12">
        <v>21.19</v>
      </c>
      <c r="H11" s="36">
        <f t="shared" si="5"/>
        <v>23.675951557093423</v>
      </c>
      <c r="I11" s="36">
        <f t="shared" si="6"/>
        <v>219.17121207746533</v>
      </c>
      <c r="J11" s="11">
        <v>1.5289999999999999</v>
      </c>
      <c r="K11" s="13">
        <v>1009.2</v>
      </c>
      <c r="L11" s="11">
        <v>155.05000000000001</v>
      </c>
      <c r="M11" s="34">
        <f t="shared" si="7"/>
        <v>38.557546610479299</v>
      </c>
      <c r="N11" s="13">
        <v>13.22</v>
      </c>
      <c r="O11" s="13">
        <v>520.1</v>
      </c>
      <c r="P11" s="33"/>
      <c r="R11" s="33"/>
      <c r="S11" s="10">
        <v>3000</v>
      </c>
      <c r="T11" s="39">
        <f t="shared" si="3"/>
        <v>120.91637600000001</v>
      </c>
      <c r="U11" s="50">
        <v>385.084</v>
      </c>
      <c r="V11" s="51">
        <v>27.943000000000001</v>
      </c>
      <c r="W11" s="39">
        <f t="shared" si="0"/>
        <v>231.09359479976473</v>
      </c>
      <c r="X11" s="39">
        <f t="shared" si="1"/>
        <v>22.207843137254898</v>
      </c>
      <c r="Y11" s="39">
        <f t="shared" si="2"/>
        <v>36.568318705130622</v>
      </c>
      <c r="Z11" s="33"/>
    </row>
    <row r="12" spans="1:26">
      <c r="A12" s="33"/>
      <c r="B12" s="14">
        <v>7</v>
      </c>
      <c r="C12" s="10">
        <v>2500</v>
      </c>
      <c r="D12" s="11">
        <v>403.37099999999998</v>
      </c>
      <c r="E12" s="37">
        <f t="shared" si="4"/>
        <v>105.54874499999998</v>
      </c>
      <c r="F12" s="10">
        <v>5186</v>
      </c>
      <c r="G12" s="12">
        <v>23.475000000000001</v>
      </c>
      <c r="H12" s="36">
        <f t="shared" si="5"/>
        <v>23.262456747404837</v>
      </c>
      <c r="I12" s="36">
        <f t="shared" si="6"/>
        <v>222.4090869105076</v>
      </c>
      <c r="J12" s="11">
        <v>1.5469999999999999</v>
      </c>
      <c r="K12" s="13">
        <v>1009.3</v>
      </c>
      <c r="L12" s="11">
        <v>156.88</v>
      </c>
      <c r="M12" s="34">
        <f t="shared" si="7"/>
        <v>37.99621833235836</v>
      </c>
      <c r="N12" s="13">
        <v>13.31</v>
      </c>
      <c r="O12" s="13">
        <v>541.70000000000005</v>
      </c>
      <c r="P12" s="33"/>
      <c r="R12" s="33"/>
      <c r="S12" s="10">
        <v>3250</v>
      </c>
      <c r="T12" s="39">
        <f t="shared" si="3"/>
        <v>124.75340366666667</v>
      </c>
      <c r="U12" s="50">
        <v>366.74200000000002</v>
      </c>
      <c r="V12" s="51">
        <v>29.413</v>
      </c>
      <c r="W12" s="39">
        <f t="shared" si="0"/>
        <v>235.76911840088712</v>
      </c>
      <c r="X12" s="39">
        <f t="shared" si="1"/>
        <v>21.15005767012687</v>
      </c>
      <c r="Y12" s="39">
        <f t="shared" si="2"/>
        <v>35.843134515110933</v>
      </c>
      <c r="Z12" s="33"/>
    </row>
    <row r="13" spans="1:26">
      <c r="A13" s="33"/>
      <c r="B13" s="14">
        <v>8</v>
      </c>
      <c r="C13" s="10">
        <v>2750</v>
      </c>
      <c r="D13" s="11">
        <v>395.471</v>
      </c>
      <c r="E13" s="37">
        <f t="shared" si="4"/>
        <v>113.82973616666666</v>
      </c>
      <c r="F13" s="10">
        <v>5731</v>
      </c>
      <c r="G13" s="12">
        <v>25.771000000000001</v>
      </c>
      <c r="H13" s="36">
        <f t="shared" si="5"/>
        <v>22.806862745098037</v>
      </c>
      <c r="I13" s="36">
        <f t="shared" si="6"/>
        <v>226.39954082180023</v>
      </c>
      <c r="J13" s="11">
        <v>1.5760000000000001</v>
      </c>
      <c r="K13" s="13">
        <v>1009.2</v>
      </c>
      <c r="L13" s="11">
        <v>161.6</v>
      </c>
      <c r="M13" s="34">
        <f t="shared" si="7"/>
        <v>37.326507795365572</v>
      </c>
      <c r="N13" s="13">
        <v>13.32</v>
      </c>
      <c r="O13" s="13">
        <v>561.1</v>
      </c>
      <c r="P13" s="33"/>
      <c r="R13" s="33"/>
      <c r="S13" s="10">
        <v>3500</v>
      </c>
      <c r="T13" s="39">
        <f t="shared" si="3"/>
        <v>128.09760833333334</v>
      </c>
      <c r="U13" s="50">
        <v>349.67500000000001</v>
      </c>
      <c r="V13" s="51">
        <v>31.068999999999999</v>
      </c>
      <c r="W13" s="39">
        <f t="shared" si="0"/>
        <v>242.54160873287185</v>
      </c>
      <c r="X13" s="39">
        <f t="shared" si="1"/>
        <v>20.165801614763552</v>
      </c>
      <c r="Y13" s="39">
        <f t="shared" si="2"/>
        <v>34.842286523544374</v>
      </c>
      <c r="Z13" s="33"/>
    </row>
    <row r="14" spans="1:26">
      <c r="A14" s="33"/>
      <c r="B14" s="14">
        <v>9</v>
      </c>
      <c r="C14" s="10">
        <v>3000</v>
      </c>
      <c r="D14" s="11">
        <v>385.084</v>
      </c>
      <c r="E14" s="37">
        <f t="shared" si="4"/>
        <v>120.91637600000001</v>
      </c>
      <c r="F14" s="10">
        <v>6379</v>
      </c>
      <c r="G14" s="12">
        <v>27.943000000000001</v>
      </c>
      <c r="H14" s="36">
        <f t="shared" si="5"/>
        <v>22.207843137254898</v>
      </c>
      <c r="I14" s="36">
        <f t="shared" si="6"/>
        <v>231.09359479976473</v>
      </c>
      <c r="J14" s="11">
        <v>1.643</v>
      </c>
      <c r="K14" s="13">
        <v>1009.2</v>
      </c>
      <c r="L14" s="11">
        <v>165.71</v>
      </c>
      <c r="M14" s="34">
        <f t="shared" si="7"/>
        <v>36.568318705130622</v>
      </c>
      <c r="N14" s="13">
        <v>13.39</v>
      </c>
      <c r="O14" s="13">
        <v>575.6</v>
      </c>
      <c r="P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>
      <c r="A15" s="33"/>
      <c r="B15" s="14">
        <v>10</v>
      </c>
      <c r="C15" s="10">
        <v>3250</v>
      </c>
      <c r="D15" s="11">
        <v>366.74200000000002</v>
      </c>
      <c r="E15" s="37">
        <f t="shared" si="4"/>
        <v>124.75340366666667</v>
      </c>
      <c r="F15" s="10">
        <v>7163</v>
      </c>
      <c r="G15" s="12">
        <v>29.413</v>
      </c>
      <c r="H15" s="36">
        <f t="shared" si="5"/>
        <v>21.15005767012687</v>
      </c>
      <c r="I15" s="36">
        <f t="shared" si="6"/>
        <v>235.76911840088712</v>
      </c>
      <c r="J15" s="11">
        <v>1.696</v>
      </c>
      <c r="K15" s="13">
        <v>1009.2</v>
      </c>
      <c r="L15" s="11">
        <v>172.56</v>
      </c>
      <c r="M15" s="34">
        <f t="shared" si="7"/>
        <v>35.843134515110933</v>
      </c>
      <c r="N15" s="13">
        <v>13.45</v>
      </c>
      <c r="O15" s="13">
        <v>574.4</v>
      </c>
      <c r="P15" s="33"/>
    </row>
    <row r="16" spans="1:26">
      <c r="A16" s="33"/>
      <c r="B16" s="14">
        <v>11</v>
      </c>
      <c r="C16" s="10">
        <v>3500</v>
      </c>
      <c r="D16" s="11">
        <v>349.67500000000001</v>
      </c>
      <c r="E16" s="37">
        <f t="shared" si="4"/>
        <v>128.09760833333334</v>
      </c>
      <c r="F16" s="10">
        <v>7802</v>
      </c>
      <c r="G16" s="12">
        <v>31.068999999999999</v>
      </c>
      <c r="H16" s="36">
        <f t="shared" si="5"/>
        <v>20.165801614763552</v>
      </c>
      <c r="I16" s="36">
        <f t="shared" si="6"/>
        <v>242.54160873287185</v>
      </c>
      <c r="J16" s="11">
        <v>1.7390000000000001</v>
      </c>
      <c r="K16" s="13">
        <v>1009.3</v>
      </c>
      <c r="L16" s="11">
        <v>178.51</v>
      </c>
      <c r="M16" s="37">
        <f t="shared" si="7"/>
        <v>34.842286523544374</v>
      </c>
      <c r="N16" s="13">
        <v>13.52</v>
      </c>
      <c r="O16" s="13">
        <v>572.5</v>
      </c>
      <c r="P16" s="33"/>
    </row>
    <row r="17" spans="1:23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18" spans="1:23">
      <c r="B18" s="1" t="s">
        <v>33</v>
      </c>
      <c r="C18" s="1">
        <v>8.5000000000000006E-2</v>
      </c>
    </row>
    <row r="19" spans="1:23">
      <c r="B19" s="1" t="s">
        <v>34</v>
      </c>
      <c r="C19" s="1">
        <v>9.6000000000000002E-2</v>
      </c>
    </row>
    <row r="20" spans="1:23">
      <c r="B20" s="1" t="s">
        <v>35</v>
      </c>
      <c r="C20" s="1">
        <v>4</v>
      </c>
    </row>
    <row r="21" spans="1:23">
      <c r="B21" s="1" t="s">
        <v>36</v>
      </c>
      <c r="C21" s="1">
        <f>SUM((3.14*C18^2*C19*C20)/4)</f>
        <v>2.1779040000000005E-3</v>
      </c>
    </row>
    <row r="22" spans="1:23" ht="18">
      <c r="B22" s="1" t="s">
        <v>37</v>
      </c>
      <c r="C22" s="1">
        <v>42600</v>
      </c>
    </row>
    <row r="24" spans="1:23">
      <c r="W24" s="1" t="s"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1A07-AFDC-4AC9-B40E-77CDF18E33C6}">
  <dimension ref="C1:X19"/>
  <sheetViews>
    <sheetView topLeftCell="C1" zoomScale="91" workbookViewId="0">
      <selection activeCell="M6" sqref="M6"/>
    </sheetView>
  </sheetViews>
  <sheetFormatPr defaultRowHeight="15"/>
  <cols>
    <col min="1" max="1" width="9.140625" style="1"/>
    <col min="2" max="2" width="30.140625" style="1" customWidth="1"/>
    <col min="3" max="3" width="28" style="1" customWidth="1"/>
    <col min="4" max="4" width="19" style="1" customWidth="1"/>
    <col min="5" max="5" width="18.28515625" style="1" customWidth="1"/>
    <col min="6" max="6" width="9.140625" style="1"/>
    <col min="7" max="7" width="15.140625" style="1" customWidth="1"/>
    <col min="8" max="8" width="10.28515625" style="1" customWidth="1"/>
    <col min="9" max="9" width="12.42578125" style="1" customWidth="1"/>
    <col min="10" max="10" width="18.28515625" style="1" customWidth="1"/>
    <col min="11" max="11" width="9.140625" style="1"/>
    <col min="12" max="12" width="16.7109375" style="1" customWidth="1"/>
    <col min="13" max="13" width="15.85546875" style="1" customWidth="1"/>
    <col min="14" max="18" width="9.140625" style="1"/>
    <col min="19" max="19" width="20" style="1" customWidth="1"/>
    <col min="20" max="20" width="18.140625" style="1" customWidth="1"/>
    <col min="21" max="21" width="13.5703125" style="1" customWidth="1"/>
    <col min="22" max="22" width="16.7109375" style="1" customWidth="1"/>
    <col min="23" max="23" width="28.42578125" style="1" customWidth="1"/>
    <col min="24" max="16384" width="9.140625" style="1"/>
  </cols>
  <sheetData>
    <row r="1" spans="3:24">
      <c r="R1" s="33"/>
      <c r="S1" s="33"/>
      <c r="T1" s="33"/>
      <c r="U1" s="33"/>
      <c r="V1" s="33"/>
      <c r="W1" s="33"/>
      <c r="X1" s="33"/>
    </row>
    <row r="2" spans="3:24">
      <c r="C2" s="14" t="s">
        <v>1</v>
      </c>
      <c r="D2" s="15" t="s">
        <v>2</v>
      </c>
      <c r="E2" s="14" t="s">
        <v>3</v>
      </c>
      <c r="F2" s="14" t="s">
        <v>4</v>
      </c>
      <c r="G2" s="16" t="s">
        <v>5</v>
      </c>
      <c r="H2" s="15" t="s">
        <v>6</v>
      </c>
      <c r="I2" s="15" t="s">
        <v>7</v>
      </c>
      <c r="J2" s="15" t="s">
        <v>8</v>
      </c>
      <c r="K2" s="17" t="s">
        <v>9</v>
      </c>
      <c r="L2" s="15" t="s">
        <v>10</v>
      </c>
      <c r="M2" s="14" t="s">
        <v>11</v>
      </c>
      <c r="N2" s="17" t="s">
        <v>12</v>
      </c>
      <c r="O2" s="17" t="s">
        <v>13</v>
      </c>
      <c r="R2" s="33"/>
      <c r="S2" s="37" t="s">
        <v>28</v>
      </c>
      <c r="T2" s="37" t="s">
        <v>29</v>
      </c>
      <c r="U2" s="37" t="s">
        <v>30</v>
      </c>
      <c r="V2" s="37" t="s">
        <v>31</v>
      </c>
      <c r="W2" s="37" t="s">
        <v>32</v>
      </c>
      <c r="X2" s="38"/>
    </row>
    <row r="3" spans="3:24">
      <c r="C3" s="10" t="s">
        <v>14</v>
      </c>
      <c r="D3" s="10" t="s">
        <v>15</v>
      </c>
      <c r="E3" s="10" t="s">
        <v>16</v>
      </c>
      <c r="F3" s="10"/>
      <c r="G3" s="10" t="s">
        <v>18</v>
      </c>
      <c r="H3" s="10" t="s">
        <v>19</v>
      </c>
      <c r="I3" s="10" t="s">
        <v>20</v>
      </c>
      <c r="J3" s="10"/>
      <c r="K3" s="10" t="s">
        <v>21</v>
      </c>
      <c r="L3" s="10"/>
      <c r="M3" s="10"/>
      <c r="N3" s="10" t="s">
        <v>39</v>
      </c>
      <c r="O3" s="10"/>
      <c r="R3" s="33"/>
      <c r="S3" s="10">
        <v>997.75</v>
      </c>
      <c r="T3" s="10">
        <v>15.790895634921601</v>
      </c>
      <c r="U3" s="10">
        <v>265.73838115458602</v>
      </c>
      <c r="V3" s="10">
        <v>9.4527840315947103</v>
      </c>
      <c r="W3" s="10">
        <f t="shared" ref="W3:W14" si="0">SUM(M6)</f>
        <v>31.612371813066641</v>
      </c>
      <c r="X3" s="33"/>
    </row>
    <row r="4" spans="3:24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R4" s="33"/>
      <c r="S4" s="10">
        <v>1229.75</v>
      </c>
      <c r="T4" s="10">
        <v>28.303387752405602</v>
      </c>
      <c r="U4" s="10">
        <v>257.13114122616298</v>
      </c>
      <c r="V4" s="10">
        <v>13.5817443747091</v>
      </c>
      <c r="W4" s="10">
        <f t="shared" si="0"/>
        <v>32.278693075600373</v>
      </c>
      <c r="X4" s="33"/>
    </row>
    <row r="5" spans="3:24"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R5" s="33"/>
      <c r="S5" s="10">
        <v>1483</v>
      </c>
      <c r="T5" s="10">
        <v>44.186358886214499</v>
      </c>
      <c r="U5" s="10">
        <v>235.311747074614</v>
      </c>
      <c r="V5" s="10">
        <v>17.752956972342101</v>
      </c>
      <c r="W5" s="10">
        <f t="shared" si="0"/>
        <v>35.613666299159</v>
      </c>
      <c r="X5" s="33"/>
    </row>
    <row r="6" spans="3:24">
      <c r="C6" s="10">
        <v>997.75</v>
      </c>
      <c r="D6" s="10">
        <v>150.3125</v>
      </c>
      <c r="E6" s="10">
        <f>SUM(((2*3.14)*C6*D6)/60000)</f>
        <v>15.697309739583332</v>
      </c>
      <c r="F6" s="10"/>
      <c r="G6" s="10">
        <v>4.1962470430050702</v>
      </c>
      <c r="H6" s="10">
        <v>9.4527840315947103</v>
      </c>
      <c r="I6" s="10">
        <f>SUM((G6*1000)/E6)</f>
        <v>267.32268857660029</v>
      </c>
      <c r="J6" s="10"/>
      <c r="K6" s="10">
        <v>1026.9412</v>
      </c>
      <c r="L6" s="10"/>
      <c r="M6" s="10">
        <f>SUM(((E6*3600)/($D$19*G6))*100)</f>
        <v>31.612371813066641</v>
      </c>
      <c r="N6" s="10">
        <v>19.387499999999999</v>
      </c>
      <c r="O6" s="10"/>
      <c r="R6" s="33"/>
      <c r="S6" s="10">
        <v>1805</v>
      </c>
      <c r="T6" s="10">
        <v>61.647650113443497</v>
      </c>
      <c r="U6" s="10">
        <v>225.855488611173</v>
      </c>
      <c r="V6" s="10">
        <v>20.616305482536099</v>
      </c>
      <c r="W6" s="10">
        <f t="shared" si="0"/>
        <v>37.590450335787985</v>
      </c>
      <c r="X6" s="33"/>
    </row>
    <row r="7" spans="3:24">
      <c r="C7" s="10">
        <v>1229.75</v>
      </c>
      <c r="D7" s="10">
        <v>215.96875</v>
      </c>
      <c r="E7" s="10">
        <f t="shared" ref="E7:E17" si="1">SUM(((2*3.14)*C7*D7)/60000)</f>
        <v>27.798165692708334</v>
      </c>
      <c r="F7" s="10"/>
      <c r="G7" s="10">
        <v>7.2776823933426602</v>
      </c>
      <c r="H7" s="10">
        <v>13.5817443747091</v>
      </c>
      <c r="I7" s="10">
        <f>SUM((G7*1000)/E7)</f>
        <v>261.80441090225065</v>
      </c>
      <c r="J7" s="10"/>
      <c r="K7" s="10">
        <v>1026.6431</v>
      </c>
      <c r="L7" s="10"/>
      <c r="M7" s="10">
        <f t="shared" ref="M7:M17" si="2">SUM(((E7*3600)/($D$19*G7))*100)</f>
        <v>32.278693075600373</v>
      </c>
      <c r="N7" s="10">
        <v>20.024999999999999</v>
      </c>
      <c r="O7" s="10"/>
      <c r="R7" s="33"/>
      <c r="S7" s="10">
        <v>2007.5</v>
      </c>
      <c r="T7" s="10">
        <v>69.107270663844105</v>
      </c>
      <c r="U7" s="10">
        <v>223.86460022124501</v>
      </c>
      <c r="V7" s="10">
        <v>20.756820154200302</v>
      </c>
      <c r="W7" s="10">
        <f t="shared" si="0"/>
        <v>37.882956797933439</v>
      </c>
      <c r="X7" s="33"/>
    </row>
    <row r="8" spans="3:24">
      <c r="C8" s="10">
        <v>1483</v>
      </c>
      <c r="D8" s="10">
        <v>282.29687000000001</v>
      </c>
      <c r="E8" s="10">
        <f t="shared" si="1"/>
        <v>43.818308359313335</v>
      </c>
      <c r="F8" s="10"/>
      <c r="G8" s="10">
        <v>10.397569306381</v>
      </c>
      <c r="H8" s="10">
        <v>17.752956972342101</v>
      </c>
      <c r="I8" s="10">
        <f>SUM((G8*1000)/E8)</f>
        <v>237.28824082208217</v>
      </c>
      <c r="J8" s="10"/>
      <c r="K8" s="10">
        <v>1026.7094</v>
      </c>
      <c r="L8" s="10"/>
      <c r="M8" s="10">
        <f t="shared" si="2"/>
        <v>35.613666299159</v>
      </c>
      <c r="N8" s="10">
        <v>19.912500000000001</v>
      </c>
      <c r="O8" s="10"/>
      <c r="R8" s="33"/>
      <c r="S8" s="10">
        <v>2242.5</v>
      </c>
      <c r="T8" s="10">
        <v>76.526628887240193</v>
      </c>
      <c r="U8" s="10">
        <v>222.176093117932</v>
      </c>
      <c r="V8" s="10">
        <v>20.464000025154998</v>
      </c>
      <c r="W8" s="10">
        <f t="shared" si="0"/>
        <v>37.962056287134892</v>
      </c>
      <c r="X8" s="33"/>
    </row>
    <row r="9" spans="3:24">
      <c r="C9" s="10">
        <v>1805</v>
      </c>
      <c r="D9" s="10">
        <v>327.82812000000001</v>
      </c>
      <c r="E9" s="10">
        <f t="shared" si="1"/>
        <v>61.934381190799996</v>
      </c>
      <c r="F9" s="10"/>
      <c r="G9" s="10">
        <v>13.923460138102399</v>
      </c>
      <c r="H9" s="10">
        <v>20.616305482536099</v>
      </c>
      <c r="I9" s="10">
        <f t="shared" ref="I9:I16" si="3">SUM((G9*1000)/E9)</f>
        <v>224.80986925837971</v>
      </c>
      <c r="J9" s="10"/>
      <c r="K9" s="10">
        <v>1026.9412</v>
      </c>
      <c r="L9" s="10"/>
      <c r="M9" s="10">
        <f t="shared" si="2"/>
        <v>37.590450335787985</v>
      </c>
      <c r="N9" s="10">
        <v>19.537500000000001</v>
      </c>
      <c r="O9" s="10"/>
      <c r="R9" s="33"/>
      <c r="S9" s="10">
        <v>2499.25</v>
      </c>
      <c r="T9" s="10">
        <v>82.357226383921201</v>
      </c>
      <c r="U9" s="10">
        <v>222.04910102433101</v>
      </c>
      <c r="V9" s="10">
        <v>19.8400373552014</v>
      </c>
      <c r="W9" s="10">
        <f t="shared" si="0"/>
        <v>38.136261105218253</v>
      </c>
      <c r="X9" s="33"/>
    </row>
    <row r="10" spans="3:24">
      <c r="C10" s="10">
        <v>2007.5</v>
      </c>
      <c r="D10" s="10">
        <v>330.0625</v>
      </c>
      <c r="E10" s="10">
        <f t="shared" si="1"/>
        <v>69.352182395833339</v>
      </c>
      <c r="F10" s="10"/>
      <c r="G10" s="10">
        <v>15.470671519542799</v>
      </c>
      <c r="H10" s="10">
        <v>20.756820154200302</v>
      </c>
      <c r="I10" s="10">
        <f t="shared" si="3"/>
        <v>223.0740401396838</v>
      </c>
      <c r="J10" s="10"/>
      <c r="K10" s="10">
        <v>1027.3719000000001</v>
      </c>
      <c r="L10" s="10"/>
      <c r="M10" s="10">
        <f t="shared" si="2"/>
        <v>37.882956797933439</v>
      </c>
      <c r="N10" s="10">
        <v>18.862500000000001</v>
      </c>
      <c r="O10" s="10"/>
      <c r="R10" s="33"/>
      <c r="S10" s="10">
        <v>2996</v>
      </c>
      <c r="T10" s="10">
        <v>90.308699380066102</v>
      </c>
      <c r="U10" s="10">
        <v>226.016869749606</v>
      </c>
      <c r="V10" s="10">
        <v>18.094907995522401</v>
      </c>
      <c r="W10" s="10">
        <f t="shared" si="0"/>
        <v>37.356347118653694</v>
      </c>
      <c r="X10" s="33"/>
    </row>
    <row r="11" spans="3:24">
      <c r="C11" s="10">
        <v>2242.5</v>
      </c>
      <c r="D11" s="10">
        <v>325.40625</v>
      </c>
      <c r="E11" s="10">
        <f t="shared" si="1"/>
        <v>76.377727968750008</v>
      </c>
      <c r="F11" s="10"/>
      <c r="G11" s="10">
        <v>17.002387425652898</v>
      </c>
      <c r="H11" s="10">
        <v>20.464000025154998</v>
      </c>
      <c r="I11" s="10">
        <f t="shared" si="3"/>
        <v>222.60923279374629</v>
      </c>
      <c r="J11" s="10"/>
      <c r="K11" s="10">
        <v>1027.5044</v>
      </c>
      <c r="L11" s="10"/>
      <c r="M11" s="10">
        <f t="shared" si="2"/>
        <v>37.962056287134892</v>
      </c>
      <c r="N11" s="10">
        <v>19.05</v>
      </c>
      <c r="O11" s="10"/>
      <c r="R11" s="33"/>
      <c r="S11" s="10">
        <v>3500.75</v>
      </c>
      <c r="T11" s="10">
        <v>96.391246335113394</v>
      </c>
      <c r="U11" s="10">
        <v>240.29979387656999</v>
      </c>
      <c r="V11" s="10">
        <v>16.5649722665929</v>
      </c>
      <c r="W11" s="10">
        <f t="shared" si="0"/>
        <v>35.212549785449241</v>
      </c>
      <c r="X11" s="33"/>
    </row>
    <row r="12" spans="3:24">
      <c r="C12" s="10">
        <v>2499.25</v>
      </c>
      <c r="D12" s="10">
        <v>315.48437000000001</v>
      </c>
      <c r="E12" s="10">
        <f t="shared" si="1"/>
        <v>82.526977960288335</v>
      </c>
      <c r="F12" s="10"/>
      <c r="G12" s="10">
        <v>18.287348081407</v>
      </c>
      <c r="H12" s="10">
        <v>19.8400373552014</v>
      </c>
      <c r="I12" s="10">
        <f t="shared" si="3"/>
        <v>221.59236329006015</v>
      </c>
      <c r="J12" s="10"/>
      <c r="K12" s="10">
        <v>1027.8356000000001</v>
      </c>
      <c r="L12" s="10"/>
      <c r="M12" s="10">
        <f t="shared" si="2"/>
        <v>38.136261105218253</v>
      </c>
      <c r="N12" s="10">
        <v>18.675000000000001</v>
      </c>
      <c r="O12" s="10"/>
      <c r="R12" s="33"/>
      <c r="S12" s="10">
        <v>3995.25</v>
      </c>
      <c r="T12" s="10">
        <v>90.8314860397264</v>
      </c>
      <c r="U12" s="10">
        <v>247.128566519158</v>
      </c>
      <c r="V12" s="10">
        <v>13.6515099299433</v>
      </c>
      <c r="W12" s="10">
        <f t="shared" si="0"/>
        <v>34.174481759233331</v>
      </c>
      <c r="X12" s="33"/>
    </row>
    <row r="13" spans="3:24">
      <c r="C13" s="10">
        <v>2996</v>
      </c>
      <c r="D13" s="10">
        <v>287.73437000000001</v>
      </c>
      <c r="E13" s="10">
        <f t="shared" si="1"/>
        <v>90.228127390426678</v>
      </c>
      <c r="F13" s="10"/>
      <c r="G13" s="10">
        <v>20.411289545040699</v>
      </c>
      <c r="H13" s="10">
        <v>18.094907995522401</v>
      </c>
      <c r="I13" s="10">
        <f t="shared" si="3"/>
        <v>226.21869848543884</v>
      </c>
      <c r="J13" s="10"/>
      <c r="K13" s="10">
        <v>1027.4712</v>
      </c>
      <c r="L13" s="10"/>
      <c r="M13" s="10">
        <f t="shared" si="2"/>
        <v>37.356347118653694</v>
      </c>
      <c r="N13" s="10">
        <v>18.412500000000001</v>
      </c>
      <c r="O13" s="10"/>
      <c r="R13" s="33"/>
      <c r="S13" s="10">
        <v>4199.75</v>
      </c>
      <c r="T13" s="10">
        <v>86.969101611453496</v>
      </c>
      <c r="U13" s="10">
        <v>253.65769844407501</v>
      </c>
      <c r="V13" s="10">
        <v>12.4566465845775</v>
      </c>
      <c r="W13" s="10">
        <f t="shared" si="0"/>
        <v>33.354021759164695</v>
      </c>
      <c r="X13" s="33"/>
    </row>
    <row r="14" spans="3:24">
      <c r="C14" s="10">
        <v>3500.75</v>
      </c>
      <c r="D14" s="10">
        <v>263.40625</v>
      </c>
      <c r="E14" s="10">
        <f t="shared" si="1"/>
        <v>96.51516697395833</v>
      </c>
      <c r="F14" s="10"/>
      <c r="G14" s="10">
        <v>23.162796625833401</v>
      </c>
      <c r="H14" s="10">
        <v>16.5649722665929</v>
      </c>
      <c r="I14" s="10">
        <f t="shared" si="3"/>
        <v>239.9912609805998</v>
      </c>
      <c r="J14" s="10"/>
      <c r="K14" s="10">
        <v>1027.1400000000001</v>
      </c>
      <c r="L14" s="10"/>
      <c r="M14" s="10">
        <f t="shared" si="2"/>
        <v>35.212549785449241</v>
      </c>
      <c r="N14" s="10">
        <v>18.412500000000001</v>
      </c>
      <c r="O14" s="10"/>
      <c r="R14" s="33"/>
      <c r="S14" s="10">
        <v>4499.75</v>
      </c>
      <c r="T14" s="10">
        <v>79.254166522592101</v>
      </c>
      <c r="U14" s="10">
        <v>265.58958227227902</v>
      </c>
      <c r="V14" s="10">
        <v>10.598516482825399</v>
      </c>
      <c r="W14" s="39">
        <f t="shared" si="0"/>
        <v>31.866692064000034</v>
      </c>
      <c r="X14" s="33"/>
    </row>
    <row r="15" spans="3:24">
      <c r="C15" s="10">
        <v>3995.25</v>
      </c>
      <c r="D15" s="10">
        <v>217.07812000000001</v>
      </c>
      <c r="E15" s="10">
        <f t="shared" si="1"/>
        <v>90.775448901340013</v>
      </c>
      <c r="F15" s="10"/>
      <c r="G15" s="10">
        <v>22.447054939802499</v>
      </c>
      <c r="H15" s="10">
        <v>13.6515099299433</v>
      </c>
      <c r="I15" s="10">
        <f t="shared" si="3"/>
        <v>247.28112294106364</v>
      </c>
      <c r="J15" s="10"/>
      <c r="K15" s="10">
        <v>1026.6099999999999</v>
      </c>
      <c r="L15" s="10"/>
      <c r="M15" s="10">
        <f t="shared" si="2"/>
        <v>34.174481759233331</v>
      </c>
      <c r="N15" s="10">
        <v>18.862500000000001</v>
      </c>
      <c r="O15" s="10"/>
      <c r="R15" s="33"/>
      <c r="S15" s="33"/>
      <c r="T15" s="33"/>
      <c r="U15" s="33"/>
      <c r="V15" s="33"/>
      <c r="W15" s="33"/>
    </row>
    <row r="16" spans="3:24">
      <c r="C16" s="10">
        <v>4199.75</v>
      </c>
      <c r="D16" s="10">
        <v>198.07812000000001</v>
      </c>
      <c r="E16" s="10">
        <f t="shared" si="1"/>
        <v>87.069958507860008</v>
      </c>
      <c r="F16" s="10"/>
      <c r="G16" s="10">
        <v>22.0603821505102</v>
      </c>
      <c r="H16" s="10">
        <v>12.4566465845775</v>
      </c>
      <c r="I16" s="10">
        <f t="shared" si="3"/>
        <v>253.36387576799817</v>
      </c>
      <c r="J16" s="10"/>
      <c r="K16" s="10">
        <v>1026.2125000000001</v>
      </c>
      <c r="L16" s="10"/>
      <c r="M16" s="10">
        <f t="shared" si="2"/>
        <v>33.354021759164695</v>
      </c>
      <c r="N16" s="10">
        <v>19.162500000000001</v>
      </c>
      <c r="O16" s="10"/>
    </row>
    <row r="17" spans="3:15">
      <c r="C17" s="10">
        <v>4499.75</v>
      </c>
      <c r="D17" s="10">
        <v>168.53125</v>
      </c>
      <c r="E17" s="10">
        <f t="shared" si="1"/>
        <v>79.373808848958333</v>
      </c>
      <c r="F17" s="10"/>
      <c r="G17" s="10">
        <v>21.049080980072901</v>
      </c>
      <c r="H17" s="10">
        <v>10.598516482825399</v>
      </c>
      <c r="I17" s="10">
        <f>SUM((G17*1000)/E17)</f>
        <v>265.18925178615945</v>
      </c>
      <c r="J17" s="10"/>
      <c r="K17" s="10">
        <v>1026.3780999999999</v>
      </c>
      <c r="L17" s="10"/>
      <c r="M17" s="10">
        <f t="shared" si="2"/>
        <v>31.866692064000034</v>
      </c>
      <c r="N17" s="10">
        <v>19.162500000000001</v>
      </c>
      <c r="O17" s="10"/>
    </row>
    <row r="19" spans="3:15" ht="18">
      <c r="C19" s="1" t="s">
        <v>37</v>
      </c>
      <c r="D19" s="1">
        <v>42600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A7FA-AF53-444E-9DA2-B7F69166A6B6}">
  <dimension ref="A1:X25"/>
  <sheetViews>
    <sheetView zoomScale="105" workbookViewId="0">
      <selection activeCell="S2" sqref="S2"/>
    </sheetView>
  </sheetViews>
  <sheetFormatPr defaultRowHeight="15"/>
  <cols>
    <col min="5" max="5" width="16.28515625" customWidth="1"/>
    <col min="8" max="8" width="14.140625" customWidth="1"/>
    <col min="9" max="9" width="14.5703125" customWidth="1"/>
    <col min="13" max="13" width="49.5703125" customWidth="1"/>
    <col min="19" max="19" width="18.7109375" customWidth="1"/>
    <col min="20" max="20" width="17.28515625" customWidth="1"/>
    <col min="21" max="21" width="14.7109375" customWidth="1"/>
    <col min="22" max="22" width="14" customWidth="1"/>
    <col min="23" max="23" width="25.42578125" customWidth="1"/>
  </cols>
  <sheetData>
    <row r="1" spans="1:24">
      <c r="A1" s="1"/>
      <c r="C1" s="10"/>
      <c r="D1" s="10"/>
      <c r="E1" s="10"/>
      <c r="F1" s="10"/>
      <c r="G1" s="10"/>
      <c r="H1" s="10"/>
      <c r="I1" s="10">
        <v>1</v>
      </c>
      <c r="J1" s="10"/>
      <c r="K1" s="10"/>
      <c r="L1" s="10"/>
      <c r="M1" s="10"/>
      <c r="N1" s="10"/>
      <c r="O1" s="10"/>
      <c r="P1" s="1"/>
      <c r="Q1" s="1"/>
      <c r="R1" s="33"/>
      <c r="S1" s="33"/>
      <c r="T1" s="33"/>
      <c r="U1" s="33"/>
      <c r="V1" s="33"/>
      <c r="W1" s="33"/>
      <c r="X1" s="33"/>
    </row>
    <row r="2" spans="1:24">
      <c r="A2" s="1"/>
      <c r="C2" s="14" t="s">
        <v>1</v>
      </c>
      <c r="D2" s="15" t="s">
        <v>2</v>
      </c>
      <c r="E2" s="14" t="s">
        <v>3</v>
      </c>
      <c r="F2" s="14" t="s">
        <v>4</v>
      </c>
      <c r="G2" s="16" t="s">
        <v>5</v>
      </c>
      <c r="H2" s="15" t="s">
        <v>6</v>
      </c>
      <c r="I2" s="15" t="s">
        <v>7</v>
      </c>
      <c r="J2" s="15" t="s">
        <v>8</v>
      </c>
      <c r="K2" s="17" t="s">
        <v>9</v>
      </c>
      <c r="L2" s="15" t="s">
        <v>10</v>
      </c>
      <c r="M2" s="14" t="s">
        <v>11</v>
      </c>
      <c r="N2" s="17" t="s">
        <v>12</v>
      </c>
      <c r="O2" s="17" t="s">
        <v>13</v>
      </c>
      <c r="P2" s="1"/>
      <c r="Q2" s="1"/>
      <c r="R2" s="33"/>
      <c r="S2" s="37" t="s">
        <v>28</v>
      </c>
      <c r="T2" s="37" t="s">
        <v>29</v>
      </c>
      <c r="U2" s="37" t="s">
        <v>30</v>
      </c>
      <c r="V2" s="37" t="s">
        <v>31</v>
      </c>
      <c r="W2" s="37" t="s">
        <v>32</v>
      </c>
      <c r="X2" s="38"/>
    </row>
    <row r="3" spans="1:24">
      <c r="A3" s="1"/>
      <c r="C3" s="10" t="s">
        <v>14</v>
      </c>
      <c r="D3" s="10" t="s">
        <v>15</v>
      </c>
      <c r="E3" s="10" t="s">
        <v>16</v>
      </c>
      <c r="F3" s="10"/>
      <c r="G3" s="10" t="s">
        <v>18</v>
      </c>
      <c r="H3" s="10" t="s">
        <v>19</v>
      </c>
      <c r="I3" s="10" t="s">
        <v>20</v>
      </c>
      <c r="J3" s="10"/>
      <c r="K3" s="10" t="s">
        <v>21</v>
      </c>
      <c r="L3" s="10"/>
      <c r="M3" s="10"/>
      <c r="N3" s="10" t="s">
        <v>39</v>
      </c>
      <c r="O3" s="10"/>
      <c r="P3" s="1"/>
      <c r="Q3" s="1"/>
      <c r="R3" s="33"/>
      <c r="S3" s="10">
        <v>1200</v>
      </c>
      <c r="T3" s="10">
        <v>51.103572849999999</v>
      </c>
      <c r="U3" s="10">
        <v>289.53709629999997</v>
      </c>
      <c r="V3" s="10">
        <v>8.5172621409999998</v>
      </c>
      <c r="W3" s="10">
        <v>28.64893992</v>
      </c>
      <c r="X3" s="33"/>
    </row>
    <row r="4" spans="1:24">
      <c r="A4" s="1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1"/>
      <c r="Q4" s="1"/>
      <c r="R4" s="33"/>
      <c r="S4" s="10">
        <v>1600</v>
      </c>
      <c r="T4" s="10">
        <v>72.293136039999993</v>
      </c>
      <c r="U4" s="10">
        <v>281.03279500000002</v>
      </c>
      <c r="V4" s="10">
        <v>9.0366420049999991</v>
      </c>
      <c r="W4" s="10">
        <v>29.515882210000001</v>
      </c>
      <c r="X4" s="33"/>
    </row>
    <row r="5" spans="1:24">
      <c r="A5" s="1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1"/>
      <c r="Q5" s="1"/>
      <c r="R5" s="33"/>
      <c r="S5" s="10">
        <v>2000</v>
      </c>
      <c r="T5" s="10">
        <v>94.19791085</v>
      </c>
      <c r="U5" s="10">
        <v>272.8442407</v>
      </c>
      <c r="V5" s="10">
        <v>9.419791085</v>
      </c>
      <c r="W5" s="10">
        <v>30.401707779999999</v>
      </c>
      <c r="X5" s="33"/>
    </row>
    <row r="6" spans="1:24">
      <c r="A6" s="1"/>
      <c r="C6" s="10">
        <v>1200</v>
      </c>
      <c r="D6" s="10">
        <v>406.87558000000001</v>
      </c>
      <c r="E6" s="10">
        <f>SUM(((2*3.14)*C6*D6)/60000)</f>
        <v>51.103572848000006</v>
      </c>
      <c r="F6" s="10"/>
      <c r="G6" s="10">
        <v>14.796380090497699</v>
      </c>
      <c r="H6" s="10">
        <f>SUM(((E6*120)/($C$21*C6))/100)</f>
        <v>8.5172621413333349</v>
      </c>
      <c r="I6" s="10">
        <f>SUM((G6*1000)/E6)</f>
        <v>289.53709625171092</v>
      </c>
      <c r="J6" s="10"/>
      <c r="K6" s="10"/>
      <c r="L6" s="10"/>
      <c r="M6" s="10">
        <f>SUM(((E6*3600)/($C$22*G6))*100)</f>
        <v>28.648939921552525</v>
      </c>
      <c r="N6" s="10"/>
      <c r="O6" s="10"/>
      <c r="P6" s="1"/>
      <c r="Q6" s="1"/>
      <c r="R6" s="33"/>
      <c r="S6" s="10">
        <v>2399.9</v>
      </c>
      <c r="T6" s="10">
        <v>116.60869219999999</v>
      </c>
      <c r="U6" s="10">
        <v>261.92718439999999</v>
      </c>
      <c r="V6" s="10">
        <v>9.7177959250000008</v>
      </c>
      <c r="W6" s="10">
        <v>31.668842980000001</v>
      </c>
      <c r="X6" s="33"/>
    </row>
    <row r="7" spans="1:24">
      <c r="A7" s="1"/>
      <c r="C7" s="10">
        <v>1600</v>
      </c>
      <c r="D7" s="10">
        <v>431.68671999999998</v>
      </c>
      <c r="E7" s="10">
        <f t="shared" ref="E7:E18" si="0">SUM(((2*3.14)*C7*D7)/60000)</f>
        <v>72.293136042666674</v>
      </c>
      <c r="F7" s="10"/>
      <c r="G7" s="10">
        <v>20.316742081448002</v>
      </c>
      <c r="H7" s="10">
        <f t="shared" ref="H7:H18" si="1">SUM(((E7*120)/($C$21*C7))/100)</f>
        <v>9.0366420053333343</v>
      </c>
      <c r="I7" s="10">
        <f t="shared" ref="I7:I18" si="2">SUM((G7*1000)/E7)</f>
        <v>281.03279500085966</v>
      </c>
      <c r="J7" s="10"/>
      <c r="K7" s="10"/>
      <c r="L7" s="10"/>
      <c r="M7" s="10">
        <f t="shared" ref="M7:M18" si="3">SUM(((E7*3600)/($C$22*G7))*100)</f>
        <v>29.515882214211558</v>
      </c>
      <c r="N7" s="10"/>
      <c r="O7" s="10"/>
      <c r="P7" s="1"/>
      <c r="Q7" s="1"/>
      <c r="R7" s="33"/>
      <c r="S7" s="10">
        <v>2800</v>
      </c>
      <c r="T7" s="10">
        <v>136.08876900000001</v>
      </c>
      <c r="U7" s="10">
        <v>260.67606640000002</v>
      </c>
      <c r="V7" s="10">
        <v>9.7206340670000007</v>
      </c>
      <c r="W7" s="10">
        <v>31.82083798</v>
      </c>
      <c r="X7" s="33"/>
    </row>
    <row r="8" spans="1:24">
      <c r="A8" s="1"/>
      <c r="C8" s="10">
        <v>2000</v>
      </c>
      <c r="D8" s="10">
        <v>449.99002000000002</v>
      </c>
      <c r="E8" s="10">
        <f t="shared" si="0"/>
        <v>94.19791085333334</v>
      </c>
      <c r="F8" s="10"/>
      <c r="G8" s="10">
        <v>25.7013574660633</v>
      </c>
      <c r="H8" s="10">
        <f t="shared" si="1"/>
        <v>9.4197910853333351</v>
      </c>
      <c r="I8" s="10">
        <f t="shared" si="2"/>
        <v>272.84424073990823</v>
      </c>
      <c r="J8" s="10"/>
      <c r="K8" s="10"/>
      <c r="L8" s="10"/>
      <c r="M8" s="10">
        <f t="shared" si="3"/>
        <v>30.401707776867713</v>
      </c>
      <c r="N8" s="10"/>
      <c r="O8" s="10"/>
      <c r="P8" s="1"/>
      <c r="Q8" s="1"/>
      <c r="R8" s="33"/>
      <c r="S8" s="10">
        <v>3200</v>
      </c>
      <c r="T8" s="10">
        <v>158.7542736</v>
      </c>
      <c r="U8" s="10">
        <v>265.64290039999997</v>
      </c>
      <c r="V8" s="10">
        <v>9.9221421010000004</v>
      </c>
      <c r="W8" s="53">
        <v>31.225870749999999</v>
      </c>
      <c r="X8" s="33"/>
    </row>
    <row r="9" spans="1:24">
      <c r="A9" s="1"/>
      <c r="C9" s="10">
        <v>2399.9</v>
      </c>
      <c r="D9" s="10">
        <v>464.22591999999997</v>
      </c>
      <c r="E9" s="10">
        <f t="shared" si="0"/>
        <v>116.60869220603733</v>
      </c>
      <c r="F9" s="10"/>
      <c r="G9" s="10">
        <v>30.5429864253394</v>
      </c>
      <c r="H9" s="10">
        <f t="shared" si="1"/>
        <v>9.7177959253333324</v>
      </c>
      <c r="I9" s="10">
        <f t="shared" si="2"/>
        <v>261.92718439353234</v>
      </c>
      <c r="J9" s="10"/>
      <c r="K9" s="10"/>
      <c r="L9" s="10"/>
      <c r="M9" s="10">
        <f t="shared" si="3"/>
        <v>31.66884298314497</v>
      </c>
      <c r="N9" s="10"/>
      <c r="O9" s="10"/>
      <c r="P9" s="1"/>
      <c r="Q9" s="1"/>
      <c r="R9" s="33"/>
      <c r="S9" s="10">
        <v>3600</v>
      </c>
      <c r="T9" s="10">
        <v>182.73656790000001</v>
      </c>
      <c r="U9" s="53">
        <v>269.40841560000001</v>
      </c>
      <c r="V9" s="10">
        <v>10.15203155</v>
      </c>
      <c r="W9" s="10">
        <v>30.789427480000001</v>
      </c>
      <c r="X9" s="33"/>
    </row>
    <row r="10" spans="1:24">
      <c r="A10" s="1"/>
      <c r="C10" s="10">
        <v>2800</v>
      </c>
      <c r="D10" s="10">
        <v>464.36149999999998</v>
      </c>
      <c r="E10" s="10">
        <f t="shared" si="0"/>
        <v>136.08887693333332</v>
      </c>
      <c r="F10" s="10"/>
      <c r="G10" s="10">
        <v>35.475113122171997</v>
      </c>
      <c r="H10" s="10">
        <f t="shared" si="1"/>
        <v>9.7206340666666655</v>
      </c>
      <c r="I10" s="10">
        <f t="shared" si="2"/>
        <v>260.6760664176133</v>
      </c>
      <c r="J10" s="10"/>
      <c r="K10" s="10"/>
      <c r="L10" s="10"/>
      <c r="M10" s="10">
        <f t="shared" si="3"/>
        <v>31.820837983212595</v>
      </c>
      <c r="N10" s="10"/>
      <c r="O10" s="10"/>
      <c r="P10" s="1"/>
      <c r="Q10" s="1"/>
      <c r="R10" s="33"/>
      <c r="S10" s="10">
        <v>4000.2</v>
      </c>
      <c r="T10" s="10">
        <v>206.39995719999999</v>
      </c>
      <c r="U10" s="10">
        <v>283.4631756</v>
      </c>
      <c r="V10" s="10">
        <v>10.31948189</v>
      </c>
      <c r="W10" s="10">
        <v>29.262816440000002</v>
      </c>
      <c r="X10" s="33"/>
    </row>
    <row r="11" spans="1:24">
      <c r="A11" s="1"/>
      <c r="C11" s="10">
        <v>3200</v>
      </c>
      <c r="D11" s="10">
        <v>473.98768000000001</v>
      </c>
      <c r="E11" s="10">
        <f t="shared" si="0"/>
        <v>158.75427362133334</v>
      </c>
      <c r="F11" s="10"/>
      <c r="G11" s="10">
        <v>42.171945701357501</v>
      </c>
      <c r="H11" s="10">
        <f t="shared" si="1"/>
        <v>9.9221421013333355</v>
      </c>
      <c r="I11" s="10">
        <f t="shared" si="2"/>
        <v>265.64290043584975</v>
      </c>
      <c r="J11" s="10"/>
      <c r="K11" s="10"/>
      <c r="L11" s="10"/>
      <c r="M11" s="10">
        <f t="shared" si="3"/>
        <v>31.225870753429696</v>
      </c>
      <c r="N11" s="10"/>
      <c r="O11" s="10"/>
      <c r="P11" s="1"/>
      <c r="Q11" s="1"/>
      <c r="R11" s="33"/>
      <c r="S11" s="10">
        <v>4400.1000000000004</v>
      </c>
      <c r="T11" s="10">
        <v>224.38392039999999</v>
      </c>
      <c r="U11" s="10">
        <v>291.43845010000001</v>
      </c>
      <c r="V11" s="10">
        <v>10.18892739</v>
      </c>
      <c r="W11" s="10">
        <v>28.457639270000001</v>
      </c>
      <c r="X11" s="33"/>
    </row>
    <row r="12" spans="1:24">
      <c r="A12" s="1"/>
      <c r="C12" s="10">
        <v>3600</v>
      </c>
      <c r="D12" s="10">
        <v>484.96965999999998</v>
      </c>
      <c r="E12" s="10">
        <f t="shared" si="0"/>
        <v>182.736567888</v>
      </c>
      <c r="F12" s="10"/>
      <c r="G12" s="10">
        <v>49.230769230769198</v>
      </c>
      <c r="H12" s="10">
        <f t="shared" si="1"/>
        <v>10.152031549333332</v>
      </c>
      <c r="I12" s="10">
        <f t="shared" si="2"/>
        <v>269.40841562123978</v>
      </c>
      <c r="J12" s="10"/>
      <c r="K12" s="10"/>
      <c r="L12" s="10"/>
      <c r="M12" s="10">
        <f t="shared" si="3"/>
        <v>30.789427481129049</v>
      </c>
      <c r="N12" s="10"/>
      <c r="O12" s="10"/>
      <c r="P12" s="1"/>
      <c r="Q12" s="1"/>
      <c r="R12" s="33"/>
      <c r="S12" s="10">
        <v>4800.2</v>
      </c>
      <c r="T12" s="10">
        <v>238.55004199999999</v>
      </c>
      <c r="U12" s="10">
        <v>305.76886880000001</v>
      </c>
      <c r="V12" s="10">
        <v>9.9391709489999993</v>
      </c>
      <c r="W12" s="10">
        <v>27.12810794</v>
      </c>
      <c r="X12" s="33"/>
    </row>
    <row r="13" spans="1:24">
      <c r="A13" s="1"/>
      <c r="C13" s="10">
        <v>4000.2</v>
      </c>
      <c r="D13" s="10">
        <v>492.96888000000001</v>
      </c>
      <c r="E13" s="10">
        <f t="shared" si="0"/>
        <v>206.39995724188799</v>
      </c>
      <c r="F13" s="10"/>
      <c r="G13" s="10">
        <v>58.506787330316797</v>
      </c>
      <c r="H13" s="10">
        <f t="shared" si="1"/>
        <v>10.319481888</v>
      </c>
      <c r="I13" s="10">
        <f t="shared" si="2"/>
        <v>283.46317563307662</v>
      </c>
      <c r="J13" s="10"/>
      <c r="K13" s="10"/>
      <c r="L13" s="10"/>
      <c r="M13" s="10">
        <f t="shared" si="3"/>
        <v>29.262816438327242</v>
      </c>
      <c r="N13" s="10"/>
      <c r="O13" s="10"/>
      <c r="P13" s="1"/>
      <c r="Q13" s="1"/>
      <c r="R13" s="33"/>
      <c r="S13" s="10">
        <v>5000</v>
      </c>
      <c r="T13" s="10">
        <v>241.38392039999999</v>
      </c>
      <c r="U13" s="10">
        <v>313.23900780000002</v>
      </c>
      <c r="V13" s="10">
        <v>9.6553568159999994</v>
      </c>
      <c r="W13" s="10">
        <v>26.4811555</v>
      </c>
      <c r="X13" s="33"/>
    </row>
    <row r="14" spans="1:24">
      <c r="A14" s="1"/>
      <c r="C14" s="10">
        <v>4400.1000000000004</v>
      </c>
      <c r="D14" s="10">
        <v>486.73219999999998</v>
      </c>
      <c r="E14" s="10">
        <f t="shared" si="0"/>
        <v>224.16149697036002</v>
      </c>
      <c r="F14" s="10"/>
      <c r="G14" s="10">
        <v>65.339366515837099</v>
      </c>
      <c r="H14" s="10">
        <f t="shared" si="1"/>
        <v>10.188927386666666</v>
      </c>
      <c r="I14" s="10">
        <f t="shared" si="2"/>
        <v>291.48345009703723</v>
      </c>
      <c r="J14" s="10"/>
      <c r="K14" s="10"/>
      <c r="L14" s="10"/>
      <c r="M14" s="10">
        <f t="shared" si="3"/>
        <v>28.457639268420166</v>
      </c>
      <c r="N14" s="10"/>
      <c r="O14" s="10"/>
      <c r="P14" s="1"/>
      <c r="Q14" s="1"/>
      <c r="R14" s="33"/>
      <c r="S14" s="10">
        <v>5199.8999999999996</v>
      </c>
      <c r="T14" s="33">
        <v>240.99897480000001</v>
      </c>
      <c r="U14" s="10">
        <v>319.55976049999998</v>
      </c>
      <c r="V14" s="33">
        <v>9.2693695950000006</v>
      </c>
      <c r="W14" s="10">
        <v>25.957369799999999</v>
      </c>
      <c r="X14" s="33"/>
    </row>
    <row r="15" spans="1:24">
      <c r="A15" s="1"/>
      <c r="C15" s="10">
        <v>4800.2</v>
      </c>
      <c r="D15" s="10">
        <v>474.80115999999998</v>
      </c>
      <c r="E15" s="10">
        <f t="shared" si="0"/>
        <v>238.55004195494934</v>
      </c>
      <c r="F15" s="10"/>
      <c r="G15" s="10">
        <v>72.941176470588204</v>
      </c>
      <c r="H15" s="10">
        <f t="shared" si="1"/>
        <v>9.9391709493333344</v>
      </c>
      <c r="I15" s="10">
        <f t="shared" si="2"/>
        <v>305.76886875737085</v>
      </c>
      <c r="J15" s="10"/>
      <c r="K15" s="10"/>
      <c r="L15" s="10"/>
      <c r="M15" s="10">
        <f t="shared" si="3"/>
        <v>27.128107937496104</v>
      </c>
      <c r="N15" s="10"/>
      <c r="O15" s="10"/>
      <c r="P15" s="1"/>
      <c r="Q15" s="1"/>
      <c r="R15" s="1"/>
      <c r="S15" s="10">
        <v>5400</v>
      </c>
      <c r="T15" s="1">
        <v>237.09265070000001</v>
      </c>
      <c r="U15" s="33">
        <v>329.40518100000003</v>
      </c>
      <c r="V15" s="1">
        <v>8.7812092849999992</v>
      </c>
      <c r="W15" s="33">
        <v>25.181543449999999</v>
      </c>
      <c r="X15" s="1"/>
    </row>
    <row r="16" spans="1:24">
      <c r="A16" s="1"/>
      <c r="C16" s="10">
        <v>5000</v>
      </c>
      <c r="D16" s="10">
        <v>461.24315999999999</v>
      </c>
      <c r="E16" s="10">
        <f t="shared" si="0"/>
        <v>241.38392039999999</v>
      </c>
      <c r="F16" s="10"/>
      <c r="G16" s="10">
        <v>75.610859728506796</v>
      </c>
      <c r="H16" s="10">
        <f t="shared" si="1"/>
        <v>9.6553568159999994</v>
      </c>
      <c r="I16" s="10">
        <f t="shared" si="2"/>
        <v>313.23900781465142</v>
      </c>
      <c r="J16" s="10"/>
      <c r="K16" s="10"/>
      <c r="L16" s="10"/>
      <c r="M16" s="10">
        <f t="shared" si="3"/>
        <v>26.481155503098393</v>
      </c>
      <c r="N16" s="10"/>
      <c r="O16" s="10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"/>
      <c r="C17" s="10">
        <v>5199.8999999999996</v>
      </c>
      <c r="D17" s="10">
        <v>442.80428000000001</v>
      </c>
      <c r="E17" s="10">
        <f t="shared" si="0"/>
        <v>240.99897477653602</v>
      </c>
      <c r="F17" s="10"/>
      <c r="G17" s="10">
        <v>77.013574660633495</v>
      </c>
      <c r="H17" s="10">
        <f t="shared" si="1"/>
        <v>9.2693695946666672</v>
      </c>
      <c r="I17" s="10">
        <f t="shared" si="2"/>
        <v>319.55976050123701</v>
      </c>
      <c r="J17" s="10"/>
      <c r="K17" s="10"/>
      <c r="L17" s="10"/>
      <c r="M17" s="10">
        <f t="shared" si="3"/>
        <v>25.957369797014628</v>
      </c>
      <c r="N17" s="10"/>
      <c r="O17" s="10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/>
      <c r="B18" s="1"/>
      <c r="C18" s="10">
        <v>5400</v>
      </c>
      <c r="D18" s="10">
        <v>419.48451999999997</v>
      </c>
      <c r="E18" s="10">
        <f t="shared" si="0"/>
        <v>237.09265070399999</v>
      </c>
      <c r="F18" s="10"/>
      <c r="G18" s="10">
        <v>78.099547511312196</v>
      </c>
      <c r="H18" s="10">
        <f t="shared" si="1"/>
        <v>8.7812092853333343</v>
      </c>
      <c r="I18" s="10">
        <f t="shared" si="2"/>
        <v>329.40518096790834</v>
      </c>
      <c r="J18" s="10"/>
      <c r="K18" s="10"/>
      <c r="L18" s="10"/>
      <c r="M18" s="10">
        <f t="shared" si="3"/>
        <v>25.181543445074578</v>
      </c>
      <c r="N18" s="10"/>
      <c r="O18" s="10"/>
      <c r="P18" s="1"/>
      <c r="Q18" s="1"/>
      <c r="R18" s="1"/>
      <c r="S18" s="1"/>
      <c r="T18" s="1"/>
      <c r="U18" s="1"/>
      <c r="V18" s="1"/>
      <c r="W18" s="1"/>
    </row>
    <row r="19" spans="1:24"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24"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</row>
    <row r="21" spans="1:24">
      <c r="B21" t="s">
        <v>44</v>
      </c>
      <c r="C21" s="40">
        <v>6.0000000000000001E-3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</row>
    <row r="22" spans="1:24">
      <c r="B22" t="s">
        <v>45</v>
      </c>
      <c r="C22" s="40">
        <v>43400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</row>
    <row r="23" spans="1:24"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</row>
    <row r="24" spans="1:24"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</row>
    <row r="25" spans="1:24"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C9FD-6BE1-4C82-A278-E09AD03B7809}">
  <dimension ref="A1:X91"/>
  <sheetViews>
    <sheetView topLeftCell="B1" workbookViewId="0">
      <selection activeCell="F21" sqref="F21"/>
    </sheetView>
  </sheetViews>
  <sheetFormatPr defaultRowHeight="15"/>
  <cols>
    <col min="12" max="12" width="15.5703125" customWidth="1"/>
    <col min="13" max="13" width="24.5703125" customWidth="1"/>
    <col min="18" max="18" width="12.7109375" customWidth="1"/>
    <col min="19" max="19" width="18.5703125" customWidth="1"/>
    <col min="20" max="20" width="17.5703125" customWidth="1"/>
    <col min="21" max="21" width="13.5703125" customWidth="1"/>
    <col min="22" max="22" width="11" customWidth="1"/>
    <col min="23" max="23" width="27.42578125" customWidth="1"/>
  </cols>
  <sheetData>
    <row r="1" spans="1:24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1"/>
      <c r="R1" s="33"/>
      <c r="S1" s="33"/>
      <c r="T1" s="33"/>
      <c r="U1" s="33"/>
      <c r="V1" s="33"/>
      <c r="W1" s="33"/>
      <c r="X1" s="33"/>
    </row>
    <row r="2" spans="1:24">
      <c r="A2" s="33"/>
      <c r="B2" s="14" t="s">
        <v>0</v>
      </c>
      <c r="C2" s="14" t="s">
        <v>1</v>
      </c>
      <c r="D2" s="15" t="s">
        <v>2</v>
      </c>
      <c r="E2" s="14" t="s">
        <v>3</v>
      </c>
      <c r="F2" s="14" t="s">
        <v>42</v>
      </c>
      <c r="G2" s="16" t="s">
        <v>5</v>
      </c>
      <c r="H2" s="15" t="s">
        <v>6</v>
      </c>
      <c r="I2" s="15" t="s">
        <v>7</v>
      </c>
      <c r="J2" s="15" t="s">
        <v>8</v>
      </c>
      <c r="K2" s="17" t="s">
        <v>9</v>
      </c>
      <c r="L2" s="15" t="s">
        <v>10</v>
      </c>
      <c r="M2" s="14" t="s">
        <v>11</v>
      </c>
      <c r="N2" s="17" t="s">
        <v>12</v>
      </c>
      <c r="O2" s="17" t="s">
        <v>13</v>
      </c>
      <c r="P2" s="33"/>
      <c r="Q2" s="1"/>
      <c r="R2" s="33"/>
      <c r="S2" s="37" t="s">
        <v>28</v>
      </c>
      <c r="T2" s="37" t="s">
        <v>29</v>
      </c>
      <c r="U2" s="37" t="s">
        <v>30</v>
      </c>
      <c r="V2" s="37" t="s">
        <v>31</v>
      </c>
      <c r="W2" s="37" t="s">
        <v>32</v>
      </c>
      <c r="X2" s="38"/>
    </row>
    <row r="3" spans="1:24">
      <c r="A3" s="33"/>
      <c r="B3" s="14"/>
      <c r="C3" s="10" t="s">
        <v>14</v>
      </c>
      <c r="D3" s="11" t="s">
        <v>15</v>
      </c>
      <c r="E3" s="10" t="s">
        <v>16</v>
      </c>
      <c r="F3" s="10" t="s">
        <v>43</v>
      </c>
      <c r="G3" s="12" t="s">
        <v>18</v>
      </c>
      <c r="H3" s="11" t="s">
        <v>19</v>
      </c>
      <c r="I3" s="11" t="s">
        <v>20</v>
      </c>
      <c r="J3" s="11" t="s">
        <v>19</v>
      </c>
      <c r="K3" s="13" t="s">
        <v>21</v>
      </c>
      <c r="L3" s="11" t="s">
        <v>19</v>
      </c>
      <c r="M3" s="10" t="s">
        <v>22</v>
      </c>
      <c r="N3" s="13" t="s">
        <v>23</v>
      </c>
      <c r="O3" s="13" t="s">
        <v>23</v>
      </c>
      <c r="P3" s="33"/>
      <c r="Q3" s="1"/>
      <c r="R3" s="33"/>
      <c r="S3" s="37">
        <f t="shared" ref="S3:S8" si="0">SUM(C6)</f>
        <v>1097</v>
      </c>
      <c r="T3" s="10">
        <f t="shared" ref="T3:T8" si="1">SUM(E6)</f>
        <v>301.8</v>
      </c>
      <c r="U3" s="10">
        <f t="shared" ref="U3:U8" si="2">SUM(I6)</f>
        <v>272.7</v>
      </c>
      <c r="V3" s="10">
        <f t="shared" ref="V3:V8" si="3">SUM(H6)</f>
        <v>20.59</v>
      </c>
      <c r="W3" s="37">
        <v>12.53</v>
      </c>
      <c r="X3" s="33"/>
    </row>
    <row r="4" spans="1:24">
      <c r="A4" s="33"/>
      <c r="B4" s="14"/>
      <c r="C4" s="35"/>
      <c r="D4" s="42"/>
      <c r="E4" s="35"/>
      <c r="F4" s="35"/>
      <c r="G4" s="43"/>
      <c r="H4" s="35"/>
      <c r="I4" s="35"/>
      <c r="J4" s="42"/>
      <c r="K4" s="44"/>
      <c r="L4" s="42"/>
      <c r="M4" s="35"/>
      <c r="N4" s="44"/>
      <c r="O4" s="44"/>
      <c r="P4" s="33"/>
      <c r="Q4" s="1"/>
      <c r="R4" s="33"/>
      <c r="S4" s="37">
        <f t="shared" si="0"/>
        <v>1208</v>
      </c>
      <c r="T4" s="10">
        <f t="shared" si="1"/>
        <v>329.6</v>
      </c>
      <c r="U4" s="10">
        <f t="shared" si="2"/>
        <v>272.7</v>
      </c>
      <c r="V4" s="10">
        <f t="shared" si="3"/>
        <v>20.47</v>
      </c>
      <c r="W4" s="37">
        <v>20.55</v>
      </c>
      <c r="X4" s="33"/>
    </row>
    <row r="5" spans="1:24">
      <c r="A5" s="33"/>
      <c r="B5" s="18"/>
      <c r="C5" s="27"/>
      <c r="D5" s="28"/>
      <c r="E5" s="29"/>
      <c r="F5" s="29"/>
      <c r="G5" s="30"/>
      <c r="H5" s="29"/>
      <c r="I5" s="29"/>
      <c r="J5" s="28"/>
      <c r="K5" s="31"/>
      <c r="L5" s="28"/>
      <c r="M5" s="35"/>
      <c r="N5" s="31"/>
      <c r="O5" s="32"/>
      <c r="P5" s="33"/>
      <c r="Q5" s="1"/>
      <c r="R5" s="33"/>
      <c r="S5" s="37">
        <f t="shared" si="0"/>
        <v>1501</v>
      </c>
      <c r="T5" s="10">
        <f t="shared" si="1"/>
        <v>422</v>
      </c>
      <c r="U5" s="10">
        <f t="shared" si="2"/>
        <v>272.7</v>
      </c>
      <c r="V5" s="10">
        <f t="shared" si="3"/>
        <v>20.95</v>
      </c>
      <c r="W5" s="37">
        <v>26.35</v>
      </c>
      <c r="X5" s="33"/>
    </row>
    <row r="6" spans="1:24">
      <c r="A6" s="33"/>
      <c r="B6" s="18">
        <v>1</v>
      </c>
      <c r="C6">
        <v>1097</v>
      </c>
      <c r="D6">
        <v>2622</v>
      </c>
      <c r="E6">
        <v>301.8</v>
      </c>
      <c r="F6" s="40">
        <v>11.91</v>
      </c>
      <c r="G6">
        <f t="shared" ref="G6:G11" si="4">SUM($D$20*F6)</f>
        <v>42.876000000000005</v>
      </c>
      <c r="H6" s="40">
        <v>20.59</v>
      </c>
      <c r="I6" s="40">
        <v>272.7</v>
      </c>
      <c r="J6" s="11"/>
      <c r="K6" s="13"/>
      <c r="L6" s="11"/>
      <c r="M6" s="37">
        <f t="shared" ref="M6:M11" si="5">SUM(((E6*3600)/($C$22*G6))*100)</f>
        <v>59.483686332943073</v>
      </c>
      <c r="N6" s="13"/>
      <c r="O6" s="13"/>
      <c r="P6" s="33"/>
      <c r="Q6" s="1"/>
      <c r="R6" s="33"/>
      <c r="S6" s="37">
        <f t="shared" si="0"/>
        <v>1700</v>
      </c>
      <c r="T6" s="10">
        <f t="shared" si="1"/>
        <v>425.3</v>
      </c>
      <c r="U6" s="10">
        <f t="shared" si="2"/>
        <v>272.7</v>
      </c>
      <c r="V6" s="10">
        <f t="shared" si="3"/>
        <v>18.8</v>
      </c>
      <c r="W6" s="37">
        <v>26.17</v>
      </c>
      <c r="X6" s="33"/>
    </row>
    <row r="7" spans="1:24">
      <c r="A7" s="33"/>
      <c r="B7" s="18">
        <v>2</v>
      </c>
      <c r="C7">
        <v>1208</v>
      </c>
      <c r="D7">
        <v>2605.8000000000002</v>
      </c>
      <c r="E7">
        <v>329.6</v>
      </c>
      <c r="F7" s="40">
        <v>20.11</v>
      </c>
      <c r="G7">
        <f t="shared" si="4"/>
        <v>72.396000000000001</v>
      </c>
      <c r="H7" s="40">
        <v>20.47</v>
      </c>
      <c r="I7" s="40">
        <v>272.7</v>
      </c>
      <c r="J7" s="11"/>
      <c r="K7" s="13"/>
      <c r="L7" s="11"/>
      <c r="M7" s="37">
        <f t="shared" si="5"/>
        <v>38.4738398899947</v>
      </c>
      <c r="N7" s="13"/>
      <c r="O7" s="13"/>
      <c r="P7" s="33"/>
      <c r="Q7" s="1"/>
      <c r="R7" s="33"/>
      <c r="S7" s="37">
        <f t="shared" si="0"/>
        <v>2002</v>
      </c>
      <c r="T7" s="10">
        <f t="shared" si="1"/>
        <v>409.2</v>
      </c>
      <c r="U7" s="10">
        <f t="shared" si="2"/>
        <v>272.7</v>
      </c>
      <c r="V7" s="10">
        <f t="shared" si="3"/>
        <v>15.32</v>
      </c>
      <c r="W7" s="37">
        <v>25.16</v>
      </c>
      <c r="X7" s="33"/>
    </row>
    <row r="8" spans="1:24">
      <c r="A8" s="33"/>
      <c r="B8" s="18">
        <v>3</v>
      </c>
      <c r="C8">
        <v>1501</v>
      </c>
      <c r="D8">
        <v>2667.3</v>
      </c>
      <c r="E8">
        <v>422</v>
      </c>
      <c r="F8" s="40">
        <v>16.71</v>
      </c>
      <c r="G8">
        <f t="shared" si="4"/>
        <v>60.156000000000006</v>
      </c>
      <c r="H8" s="40">
        <v>20.95</v>
      </c>
      <c r="I8" s="40">
        <v>272.7</v>
      </c>
      <c r="J8" s="11"/>
      <c r="K8" s="13"/>
      <c r="L8" s="11"/>
      <c r="M8" s="37">
        <f t="shared" si="5"/>
        <v>59.28248525664258</v>
      </c>
      <c r="N8" s="13"/>
      <c r="O8" s="13"/>
      <c r="P8" s="33"/>
      <c r="Q8" s="1"/>
      <c r="R8" s="33"/>
      <c r="S8" s="37">
        <f t="shared" si="0"/>
        <v>2100</v>
      </c>
      <c r="T8" s="10">
        <f t="shared" si="1"/>
        <v>397.7</v>
      </c>
      <c r="U8" s="10">
        <f t="shared" si="2"/>
        <v>219</v>
      </c>
      <c r="V8" s="10">
        <f t="shared" si="3"/>
        <v>14.2</v>
      </c>
      <c r="W8" s="37">
        <v>24.03</v>
      </c>
      <c r="X8" s="33"/>
    </row>
    <row r="9" spans="1:24">
      <c r="A9" s="33"/>
      <c r="B9" s="18">
        <v>4</v>
      </c>
      <c r="C9">
        <v>1700</v>
      </c>
      <c r="D9">
        <v>2393.6999999999998</v>
      </c>
      <c r="E9">
        <v>425.3</v>
      </c>
      <c r="F9" s="40">
        <v>19.989999999999998</v>
      </c>
      <c r="G9">
        <f t="shared" si="4"/>
        <v>71.963999999999999</v>
      </c>
      <c r="H9" s="40">
        <v>18.8</v>
      </c>
      <c r="I9" s="40">
        <v>272.7</v>
      </c>
      <c r="J9" s="11"/>
      <c r="K9" s="13"/>
      <c r="L9" s="11"/>
      <c r="M9" s="37">
        <f t="shared" si="5"/>
        <v>49.942811781477594</v>
      </c>
      <c r="N9" s="13"/>
      <c r="O9" s="13"/>
      <c r="P9" s="33"/>
      <c r="Q9" s="1"/>
      <c r="R9" s="33"/>
      <c r="S9" s="37"/>
      <c r="T9" s="10"/>
      <c r="U9" s="10"/>
      <c r="V9" s="10"/>
      <c r="W9" s="10"/>
      <c r="X9" s="33"/>
    </row>
    <row r="10" spans="1:24">
      <c r="A10" s="33"/>
      <c r="B10" s="18">
        <v>5</v>
      </c>
      <c r="C10">
        <v>2002</v>
      </c>
      <c r="D10">
        <v>1951</v>
      </c>
      <c r="E10">
        <v>409.2</v>
      </c>
      <c r="F10" s="40">
        <v>25.26</v>
      </c>
      <c r="G10">
        <f t="shared" si="4"/>
        <v>90.936000000000007</v>
      </c>
      <c r="H10" s="40">
        <v>15.32</v>
      </c>
      <c r="I10" s="40">
        <v>272.7</v>
      </c>
      <c r="J10" s="11"/>
      <c r="K10" s="13"/>
      <c r="L10" s="11"/>
      <c r="M10" s="37">
        <f t="shared" si="5"/>
        <v>38.027053851214973</v>
      </c>
      <c r="N10" s="13"/>
      <c r="O10" s="13"/>
      <c r="P10" s="33"/>
      <c r="Q10" s="1"/>
      <c r="R10" s="33"/>
      <c r="S10" s="37"/>
      <c r="T10" s="10"/>
      <c r="U10" s="10"/>
      <c r="V10" s="10"/>
      <c r="W10" s="10"/>
      <c r="X10" s="33"/>
    </row>
    <row r="11" spans="1:24">
      <c r="A11" s="33"/>
      <c r="B11" s="18">
        <v>6</v>
      </c>
      <c r="C11">
        <v>2100</v>
      </c>
      <c r="D11">
        <v>1808.2</v>
      </c>
      <c r="E11">
        <v>397.7</v>
      </c>
      <c r="F11" s="40">
        <v>19.03</v>
      </c>
      <c r="G11">
        <f t="shared" si="4"/>
        <v>68.50800000000001</v>
      </c>
      <c r="H11" s="40">
        <v>14.2</v>
      </c>
      <c r="I11" s="40">
        <v>219</v>
      </c>
      <c r="J11" s="11"/>
      <c r="K11" s="13"/>
      <c r="L11" s="11"/>
      <c r="M11" s="37">
        <f t="shared" si="5"/>
        <v>49.057702318306404</v>
      </c>
      <c r="N11" s="13"/>
      <c r="O11" s="13"/>
      <c r="P11" s="33"/>
      <c r="Q11" s="1"/>
      <c r="R11" s="33"/>
      <c r="S11" s="37"/>
      <c r="T11" s="10"/>
      <c r="U11" s="10"/>
      <c r="V11" s="10"/>
      <c r="W11" s="10"/>
      <c r="X11" s="33"/>
    </row>
    <row r="12" spans="1:24">
      <c r="A12" s="33"/>
      <c r="B12" s="18">
        <v>7</v>
      </c>
      <c r="F12" s="40"/>
      <c r="H12" s="40"/>
      <c r="I12" s="40"/>
      <c r="J12" s="11"/>
      <c r="K12" s="13"/>
      <c r="L12" s="11"/>
      <c r="M12" s="37"/>
      <c r="N12" s="13"/>
      <c r="O12" s="13"/>
      <c r="P12" s="33"/>
      <c r="Q12" s="1"/>
      <c r="R12" s="33"/>
      <c r="S12" s="37"/>
      <c r="T12" s="10"/>
      <c r="U12" s="10"/>
      <c r="V12" s="10"/>
      <c r="W12" s="10"/>
      <c r="X12" s="33"/>
    </row>
    <row r="13" spans="1:24">
      <c r="A13" s="33"/>
      <c r="B13" s="18">
        <v>8</v>
      </c>
      <c r="F13" s="40"/>
      <c r="H13" s="40"/>
      <c r="I13" s="40"/>
      <c r="J13" s="11"/>
      <c r="K13" s="13"/>
      <c r="L13" s="11"/>
      <c r="M13" s="37"/>
      <c r="N13" s="13"/>
      <c r="O13" s="13"/>
      <c r="P13" s="33"/>
      <c r="Q13" s="1"/>
      <c r="R13" s="33"/>
      <c r="S13" s="37"/>
      <c r="T13" s="10"/>
      <c r="U13" s="10"/>
      <c r="V13" s="10"/>
      <c r="W13" s="10"/>
      <c r="X13" s="33"/>
    </row>
    <row r="14" spans="1:24">
      <c r="A14" s="33"/>
      <c r="B14" s="18">
        <v>9</v>
      </c>
      <c r="H14" s="40"/>
      <c r="I14" s="40"/>
      <c r="J14" s="11"/>
      <c r="K14" s="13"/>
      <c r="L14" s="11"/>
      <c r="M14" s="37"/>
      <c r="N14" s="13"/>
      <c r="O14" s="13"/>
      <c r="P14" s="33"/>
      <c r="Q14" s="1"/>
      <c r="R14" s="33"/>
      <c r="S14" s="33"/>
      <c r="T14" s="33"/>
      <c r="U14" s="33"/>
      <c r="V14" s="33"/>
      <c r="W14" s="33"/>
      <c r="X14" s="33"/>
    </row>
    <row r="15" spans="1:24">
      <c r="A15" s="33"/>
      <c r="B15" s="18">
        <v>10</v>
      </c>
      <c r="H15" s="40"/>
      <c r="I15" s="40"/>
      <c r="J15" s="11"/>
      <c r="K15" s="13"/>
      <c r="L15" s="11"/>
      <c r="M15" s="37"/>
      <c r="N15" s="13"/>
      <c r="O15" s="13"/>
      <c r="P15" s="33"/>
      <c r="Q15" s="1"/>
      <c r="R15" s="1"/>
      <c r="S15" s="1"/>
      <c r="T15" s="1"/>
      <c r="U15" s="1"/>
      <c r="V15" s="1"/>
      <c r="W15" s="1"/>
      <c r="X15" s="1"/>
    </row>
    <row r="16" spans="1:24">
      <c r="A16" s="33"/>
      <c r="B16" s="18">
        <v>11</v>
      </c>
      <c r="H16" s="40"/>
      <c r="I16" s="40"/>
      <c r="J16" s="11"/>
      <c r="K16" s="13"/>
      <c r="L16" s="11"/>
      <c r="M16" s="37"/>
      <c r="N16" s="13"/>
      <c r="O16" s="13"/>
      <c r="P16" s="33"/>
      <c r="Q16" s="1"/>
      <c r="R16" s="1"/>
      <c r="S16" s="1"/>
      <c r="T16" s="1"/>
      <c r="U16" s="1"/>
      <c r="V16" s="1"/>
      <c r="W16" s="1"/>
      <c r="X16" s="1"/>
    </row>
    <row r="17" spans="1:24">
      <c r="A17" s="33"/>
      <c r="B17" s="33"/>
      <c r="H17" s="40"/>
      <c r="I17" s="40"/>
      <c r="J17" s="39"/>
      <c r="K17" s="39"/>
      <c r="L17" s="39"/>
      <c r="M17" s="37"/>
      <c r="N17" s="39"/>
      <c r="O17" s="39"/>
      <c r="P17" s="33"/>
      <c r="Q17" s="1"/>
      <c r="R17" s="1"/>
      <c r="S17" s="1"/>
      <c r="T17" s="1"/>
      <c r="U17" s="1"/>
      <c r="V17" s="1"/>
      <c r="W17" s="1"/>
      <c r="X17" s="1"/>
    </row>
    <row r="18" spans="1:24">
      <c r="H18" s="40"/>
      <c r="I18" s="40"/>
      <c r="J18" s="40"/>
      <c r="K18" s="40"/>
      <c r="L18" s="40"/>
      <c r="M18" s="37"/>
      <c r="N18" s="40"/>
      <c r="O18" s="40"/>
    </row>
    <row r="19" spans="1:24">
      <c r="D19">
        <v>42400</v>
      </c>
      <c r="H19" s="40"/>
      <c r="I19" s="40"/>
      <c r="J19" s="40"/>
      <c r="K19" s="40"/>
      <c r="L19" s="40"/>
      <c r="M19" s="37"/>
      <c r="N19" s="40"/>
      <c r="O19" s="40"/>
    </row>
    <row r="20" spans="1:24">
      <c r="D20">
        <v>3.6</v>
      </c>
      <c r="H20" s="40"/>
      <c r="I20" s="40"/>
      <c r="J20" s="40"/>
      <c r="K20" s="40"/>
      <c r="L20" s="40"/>
      <c r="M20" s="37"/>
      <c r="N20" s="40"/>
      <c r="O20" s="40"/>
    </row>
    <row r="21" spans="1:24">
      <c r="H21" s="40"/>
      <c r="I21" s="40"/>
      <c r="J21" s="40"/>
      <c r="K21" s="40"/>
      <c r="L21" s="40"/>
      <c r="M21" s="37"/>
      <c r="N21" s="40"/>
      <c r="O21" s="40"/>
    </row>
    <row r="22" spans="1:24">
      <c r="C22">
        <v>42600</v>
      </c>
      <c r="D22">
        <v>42400</v>
      </c>
      <c r="H22" s="40"/>
      <c r="I22" s="40"/>
      <c r="J22" s="40"/>
      <c r="K22" s="40"/>
      <c r="L22" s="40"/>
      <c r="M22" s="37"/>
      <c r="N22" s="40"/>
      <c r="O22" s="40"/>
    </row>
    <row r="23" spans="1:24">
      <c r="H23" s="40"/>
      <c r="I23" s="40"/>
      <c r="J23" s="40"/>
      <c r="K23" s="40"/>
      <c r="L23" s="40"/>
      <c r="M23" s="37"/>
      <c r="N23" s="40"/>
      <c r="O23" s="40"/>
    </row>
    <row r="24" spans="1:24">
      <c r="H24" s="40"/>
      <c r="I24" s="40"/>
      <c r="J24" s="40"/>
      <c r="K24" s="40"/>
      <c r="L24" s="40"/>
      <c r="M24" s="37"/>
      <c r="N24" s="40"/>
      <c r="O24" s="40"/>
    </row>
    <row r="25" spans="1:24">
      <c r="H25" s="40"/>
      <c r="I25" s="40"/>
      <c r="J25" s="40"/>
      <c r="K25" s="40"/>
      <c r="L25" s="40"/>
      <c r="M25" s="37"/>
      <c r="N25" s="40"/>
      <c r="O25" s="40"/>
    </row>
    <row r="26" spans="1:24">
      <c r="H26" s="40"/>
      <c r="I26" s="40"/>
      <c r="J26" s="40"/>
      <c r="K26" s="40"/>
      <c r="L26" s="40"/>
      <c r="M26" s="37"/>
      <c r="N26" s="40"/>
      <c r="O26" s="40"/>
    </row>
    <row r="27" spans="1:24">
      <c r="H27" s="40"/>
      <c r="I27" s="40"/>
      <c r="J27" s="40"/>
      <c r="K27" s="40"/>
      <c r="L27" s="40"/>
      <c r="M27" s="37"/>
      <c r="N27" s="40"/>
      <c r="O27" s="40"/>
    </row>
    <row r="28" spans="1:24">
      <c r="H28" s="40"/>
      <c r="I28" s="40"/>
      <c r="J28" s="40"/>
      <c r="K28" s="40"/>
      <c r="L28" s="40"/>
      <c r="M28" s="37"/>
      <c r="N28" s="40"/>
      <c r="O28" s="40"/>
    </row>
    <row r="29" spans="1:24">
      <c r="H29" s="40"/>
      <c r="I29" s="40"/>
      <c r="J29" s="40"/>
      <c r="K29" s="40"/>
      <c r="L29" s="40"/>
      <c r="M29" s="37"/>
      <c r="N29" s="40"/>
      <c r="O29" s="40"/>
    </row>
    <row r="30" spans="1:24">
      <c r="H30" s="40"/>
      <c r="I30" s="40"/>
      <c r="J30" s="40"/>
      <c r="K30" s="40"/>
      <c r="L30" s="40"/>
      <c r="M30" s="37"/>
      <c r="N30" s="40"/>
      <c r="O30" s="40"/>
    </row>
    <row r="31" spans="1:24">
      <c r="H31" s="40"/>
      <c r="I31" s="40"/>
      <c r="J31" s="40"/>
      <c r="K31" s="40"/>
      <c r="L31" s="40"/>
      <c r="M31" s="37"/>
      <c r="N31" s="40"/>
      <c r="O31" s="40"/>
    </row>
    <row r="32" spans="1:24">
      <c r="H32" s="40"/>
      <c r="I32" s="40"/>
      <c r="J32" s="40"/>
      <c r="K32" s="40"/>
      <c r="L32" s="40"/>
      <c r="M32" s="37"/>
      <c r="N32" s="40"/>
      <c r="O32" s="40"/>
    </row>
    <row r="33" spans="8:15">
      <c r="H33" s="40"/>
      <c r="I33" s="40"/>
      <c r="J33" s="40"/>
      <c r="K33" s="40"/>
      <c r="L33" s="40"/>
      <c r="M33" s="37"/>
      <c r="N33" s="40"/>
      <c r="O33" s="40"/>
    </row>
    <row r="34" spans="8:15">
      <c r="H34" s="40"/>
      <c r="I34" s="40"/>
      <c r="J34" s="40"/>
      <c r="K34" s="40"/>
      <c r="L34" s="40"/>
      <c r="M34" s="37"/>
      <c r="N34" s="40"/>
      <c r="O34" s="40"/>
    </row>
    <row r="35" spans="8:15">
      <c r="H35" s="37"/>
      <c r="I35" s="41"/>
      <c r="J35" s="40"/>
      <c r="K35" s="40"/>
      <c r="L35" s="40"/>
      <c r="M35" s="37"/>
      <c r="N35" s="40"/>
      <c r="O35" s="40"/>
    </row>
    <row r="36" spans="8:15">
      <c r="H36" s="37"/>
      <c r="I36" s="41"/>
      <c r="J36" s="40"/>
      <c r="K36" s="40"/>
      <c r="L36" s="40"/>
      <c r="M36" s="37"/>
      <c r="N36" s="40"/>
      <c r="O36" s="40"/>
    </row>
    <row r="37" spans="8:15">
      <c r="H37" s="37"/>
      <c r="I37" s="41"/>
      <c r="J37" s="40"/>
      <c r="K37" s="40"/>
      <c r="L37" s="40"/>
      <c r="M37" s="37"/>
      <c r="N37" s="40"/>
      <c r="O37" s="40"/>
    </row>
    <row r="38" spans="8:15">
      <c r="H38" s="37"/>
      <c r="I38" s="41"/>
      <c r="J38" s="40"/>
      <c r="K38" s="40"/>
      <c r="L38" s="40"/>
      <c r="M38" s="37"/>
      <c r="N38" s="40"/>
      <c r="O38" s="40"/>
    </row>
    <row r="39" spans="8:15">
      <c r="H39" s="37"/>
      <c r="I39" s="41"/>
      <c r="J39" s="40"/>
      <c r="K39" s="40"/>
      <c r="L39" s="40"/>
      <c r="M39" s="37"/>
      <c r="N39" s="40"/>
      <c r="O39" s="40"/>
    </row>
    <row r="40" spans="8:15">
      <c r="H40" s="37"/>
      <c r="I40" s="41"/>
      <c r="J40" s="40"/>
      <c r="K40" s="40"/>
      <c r="L40" s="40"/>
      <c r="M40" s="37"/>
      <c r="N40" s="40"/>
      <c r="O40" s="40"/>
    </row>
    <row r="41" spans="8:15">
      <c r="H41" s="37"/>
      <c r="I41" s="41"/>
      <c r="J41" s="40"/>
      <c r="K41" s="40"/>
      <c r="L41" s="40"/>
      <c r="M41" s="37"/>
      <c r="N41" s="40"/>
      <c r="O41" s="40"/>
    </row>
    <row r="42" spans="8:15">
      <c r="H42" s="37"/>
      <c r="I42" s="41"/>
      <c r="J42" s="40"/>
      <c r="K42" s="40"/>
      <c r="L42" s="40"/>
      <c r="M42" s="37"/>
      <c r="N42" s="40"/>
      <c r="O42" s="40"/>
    </row>
    <row r="43" spans="8:15">
      <c r="H43" s="37"/>
      <c r="I43" s="41"/>
      <c r="J43" s="40"/>
      <c r="K43" s="40"/>
      <c r="L43" s="40"/>
      <c r="M43" s="37"/>
      <c r="N43" s="40"/>
      <c r="O43" s="40"/>
    </row>
    <row r="44" spans="8:15">
      <c r="H44" s="37"/>
      <c r="I44" s="41"/>
      <c r="J44" s="40"/>
      <c r="K44" s="40"/>
      <c r="L44" s="40"/>
      <c r="M44" s="37"/>
      <c r="N44" s="40"/>
      <c r="O44" s="40"/>
    </row>
    <row r="45" spans="8:15">
      <c r="H45" s="37"/>
      <c r="I45" s="41"/>
      <c r="J45" s="40"/>
      <c r="K45" s="40"/>
      <c r="L45" s="40"/>
      <c r="M45" s="37"/>
      <c r="N45" s="40"/>
      <c r="O45" s="40"/>
    </row>
    <row r="46" spans="8:15">
      <c r="H46" s="37"/>
      <c r="I46" s="41"/>
      <c r="J46" s="40"/>
      <c r="K46" s="40"/>
      <c r="L46" s="40"/>
      <c r="M46" s="37"/>
      <c r="N46" s="40"/>
      <c r="O46" s="40"/>
    </row>
    <row r="47" spans="8:15">
      <c r="H47" s="37"/>
      <c r="I47" s="41"/>
      <c r="J47" s="40"/>
      <c r="K47" s="40"/>
      <c r="L47" s="40"/>
      <c r="M47" s="37"/>
      <c r="N47" s="40"/>
      <c r="O47" s="40"/>
    </row>
    <row r="48" spans="8:15">
      <c r="H48" s="37"/>
      <c r="I48" s="41"/>
      <c r="J48" s="40"/>
      <c r="K48" s="40"/>
      <c r="L48" s="40"/>
      <c r="M48" s="37"/>
      <c r="N48" s="40"/>
      <c r="O48" s="40"/>
    </row>
    <row r="49" spans="3:15">
      <c r="H49" s="37"/>
      <c r="I49" s="41"/>
      <c r="J49" s="40"/>
      <c r="K49" s="40"/>
      <c r="L49" s="40"/>
      <c r="M49" s="37"/>
      <c r="N49" s="40"/>
      <c r="O49" s="40"/>
    </row>
    <row r="50" spans="3:15">
      <c r="H50" s="37"/>
      <c r="I50" s="41"/>
      <c r="J50" s="40"/>
      <c r="K50" s="40"/>
      <c r="L50" s="40"/>
      <c r="M50" s="37"/>
      <c r="N50" s="40"/>
      <c r="O50" s="40"/>
    </row>
    <row r="51" spans="3:15">
      <c r="H51" s="37"/>
      <c r="I51" s="41"/>
      <c r="J51" s="40"/>
      <c r="K51" s="40"/>
      <c r="L51" s="40"/>
      <c r="M51" s="37"/>
      <c r="N51" s="40"/>
      <c r="O51" s="40"/>
    </row>
    <row r="52" spans="3:15">
      <c r="H52" s="37"/>
      <c r="I52" s="41"/>
      <c r="J52" s="40"/>
      <c r="K52" s="40"/>
      <c r="L52" s="40"/>
      <c r="M52" s="37"/>
      <c r="N52" s="40"/>
      <c r="O52" s="40"/>
    </row>
    <row r="53" spans="3:15">
      <c r="H53" s="37"/>
      <c r="I53" s="41"/>
      <c r="J53" s="40"/>
      <c r="K53" s="40"/>
      <c r="L53" s="40"/>
      <c r="M53" s="37"/>
      <c r="N53" s="40"/>
      <c r="O53" s="40"/>
    </row>
    <row r="54" spans="3:15">
      <c r="H54" s="37"/>
      <c r="I54" s="41"/>
      <c r="J54" s="40"/>
      <c r="K54" s="40"/>
      <c r="L54" s="40"/>
      <c r="M54" s="37"/>
      <c r="N54" s="40"/>
      <c r="O54" s="40"/>
    </row>
    <row r="55" spans="3:15">
      <c r="H55" s="37"/>
      <c r="I55" s="41"/>
      <c r="J55" s="40"/>
      <c r="K55" s="40"/>
      <c r="L55" s="40"/>
      <c r="M55" s="37"/>
      <c r="N55" s="40"/>
      <c r="O55" s="40"/>
    </row>
    <row r="56" spans="3:15">
      <c r="H56" s="37"/>
      <c r="I56" s="41"/>
      <c r="J56" s="40"/>
      <c r="K56" s="40"/>
      <c r="L56" s="40"/>
      <c r="M56" s="37"/>
      <c r="N56" s="40"/>
      <c r="O56" s="40"/>
    </row>
    <row r="57" spans="3:15">
      <c r="H57" s="37"/>
      <c r="I57" s="41"/>
      <c r="J57" s="40"/>
      <c r="K57" s="40"/>
      <c r="L57" s="40"/>
      <c r="M57" s="37"/>
      <c r="N57" s="40"/>
      <c r="O57" s="40"/>
    </row>
    <row r="58" spans="3:15">
      <c r="H58" s="37"/>
      <c r="I58" s="41"/>
      <c r="J58" s="40"/>
      <c r="K58" s="40"/>
      <c r="L58" s="40"/>
      <c r="M58" s="37"/>
      <c r="N58" s="40"/>
      <c r="O58" s="40"/>
    </row>
    <row r="59" spans="3:15">
      <c r="C59" s="40"/>
      <c r="D59" s="40"/>
      <c r="E59" s="41"/>
      <c r="H59" s="37"/>
      <c r="I59" s="41"/>
      <c r="J59" s="40"/>
      <c r="K59" s="40"/>
      <c r="L59" s="40"/>
      <c r="M59" s="37"/>
      <c r="N59" s="40"/>
      <c r="O59" s="40"/>
    </row>
    <row r="60" spans="3:15">
      <c r="C60" s="40"/>
      <c r="D60" s="40"/>
      <c r="E60" s="41"/>
      <c r="H60" s="37"/>
      <c r="I60" s="41"/>
      <c r="J60" s="40"/>
      <c r="K60" s="40"/>
      <c r="L60" s="40"/>
      <c r="M60" s="37"/>
      <c r="N60" s="40"/>
      <c r="O60" s="40"/>
    </row>
    <row r="61" spans="3:15">
      <c r="C61" s="40"/>
      <c r="D61" s="40"/>
      <c r="E61" s="41"/>
      <c r="H61" s="37"/>
      <c r="I61" s="41"/>
      <c r="J61" s="40"/>
      <c r="K61" s="40"/>
      <c r="L61" s="40"/>
      <c r="M61" s="37"/>
      <c r="N61" s="40"/>
      <c r="O61" s="40"/>
    </row>
    <row r="62" spans="3:15">
      <c r="C62" s="40"/>
      <c r="D62" s="40"/>
      <c r="E62" s="41"/>
      <c r="H62" s="37"/>
      <c r="I62" s="41"/>
      <c r="J62" s="40"/>
      <c r="K62" s="40"/>
      <c r="L62" s="40"/>
      <c r="M62" s="37"/>
      <c r="N62" s="40"/>
      <c r="O62" s="40"/>
    </row>
    <row r="63" spans="3:15">
      <c r="C63" s="40"/>
      <c r="D63" s="40"/>
      <c r="E63" s="41"/>
      <c r="H63" s="37"/>
      <c r="I63" s="41"/>
      <c r="J63" s="40"/>
      <c r="K63" s="40"/>
      <c r="L63" s="40"/>
      <c r="M63" s="37"/>
      <c r="N63" s="40"/>
      <c r="O63" s="40"/>
    </row>
    <row r="64" spans="3:15">
      <c r="C64" s="40"/>
      <c r="D64" s="40"/>
      <c r="E64" s="41"/>
      <c r="H64" s="37"/>
      <c r="I64" s="41"/>
      <c r="J64" s="40"/>
      <c r="K64" s="40"/>
      <c r="L64" s="40"/>
      <c r="M64" s="37"/>
      <c r="N64" s="40"/>
      <c r="O64" s="40"/>
    </row>
    <row r="65" spans="3:15">
      <c r="C65" s="40"/>
      <c r="D65" s="40"/>
      <c r="E65" s="41"/>
      <c r="H65" s="37"/>
      <c r="I65" s="41"/>
      <c r="J65" s="40"/>
      <c r="K65" s="40"/>
      <c r="L65" s="40"/>
      <c r="M65" s="37"/>
      <c r="N65" s="40"/>
      <c r="O65" s="40"/>
    </row>
    <row r="66" spans="3:15">
      <c r="C66" s="40"/>
      <c r="D66" s="40"/>
      <c r="E66" s="41"/>
      <c r="H66" s="37"/>
      <c r="I66" s="41"/>
      <c r="J66" s="40"/>
      <c r="K66" s="40"/>
      <c r="L66" s="40"/>
      <c r="M66" s="37"/>
      <c r="N66" s="40"/>
      <c r="O66" s="40"/>
    </row>
    <row r="67" spans="3:15">
      <c r="C67" s="40"/>
      <c r="D67" s="40"/>
      <c r="E67" s="41"/>
      <c r="H67" s="37"/>
      <c r="I67" s="41"/>
      <c r="J67" s="40"/>
      <c r="K67" s="40"/>
      <c r="L67" s="40"/>
      <c r="M67" s="37"/>
      <c r="N67" s="40"/>
      <c r="O67" s="40"/>
    </row>
    <row r="68" spans="3:15">
      <c r="C68" s="40"/>
      <c r="D68" s="40"/>
      <c r="E68" s="41"/>
      <c r="H68" s="37"/>
      <c r="I68" s="41"/>
      <c r="J68" s="40"/>
      <c r="K68" s="40"/>
      <c r="L68" s="40"/>
      <c r="M68" s="37"/>
      <c r="N68" s="40"/>
      <c r="O68" s="40"/>
    </row>
    <row r="69" spans="3:15">
      <c r="C69" s="40"/>
      <c r="D69" s="40"/>
      <c r="E69" s="41"/>
      <c r="H69" s="37"/>
      <c r="I69" s="41"/>
      <c r="J69" s="40"/>
      <c r="K69" s="40"/>
      <c r="L69" s="40"/>
      <c r="M69" s="37"/>
      <c r="N69" s="40"/>
      <c r="O69" s="40"/>
    </row>
    <row r="70" spans="3:15">
      <c r="C70" s="40"/>
      <c r="D70" s="40"/>
      <c r="E70" s="41"/>
      <c r="H70" s="37"/>
      <c r="I70" s="41"/>
      <c r="J70" s="40"/>
      <c r="K70" s="40"/>
      <c r="L70" s="40"/>
      <c r="M70" s="37"/>
      <c r="N70" s="40"/>
      <c r="O70" s="40"/>
    </row>
    <row r="71" spans="3:15">
      <c r="C71" s="40"/>
      <c r="D71" s="40"/>
      <c r="E71" s="41"/>
      <c r="H71" s="37"/>
      <c r="I71" s="41"/>
      <c r="J71" s="40"/>
      <c r="K71" s="40"/>
      <c r="L71" s="40"/>
      <c r="M71" s="37"/>
      <c r="N71" s="40"/>
      <c r="O71" s="40"/>
    </row>
    <row r="72" spans="3:15">
      <c r="C72" s="40"/>
      <c r="D72" s="40"/>
      <c r="E72" s="41"/>
      <c r="H72" s="37"/>
      <c r="I72" s="41"/>
      <c r="J72" s="40"/>
      <c r="K72" s="40"/>
      <c r="L72" s="40"/>
      <c r="M72" s="37"/>
      <c r="N72" s="40"/>
      <c r="O72" s="40"/>
    </row>
    <row r="73" spans="3:15">
      <c r="C73" s="40"/>
      <c r="D73" s="40"/>
      <c r="E73" s="41"/>
      <c r="H73" s="37"/>
      <c r="I73" s="41"/>
      <c r="J73" s="40"/>
      <c r="K73" s="40"/>
      <c r="L73" s="40"/>
      <c r="M73" s="37"/>
      <c r="N73" s="40"/>
      <c r="O73" s="40"/>
    </row>
    <row r="74" spans="3:15">
      <c r="C74" s="40"/>
      <c r="D74" s="40"/>
      <c r="E74" s="41"/>
      <c r="H74" s="37"/>
      <c r="I74" s="41"/>
      <c r="J74" s="40"/>
      <c r="K74" s="40"/>
      <c r="L74" s="40"/>
      <c r="M74" s="37"/>
      <c r="N74" s="40"/>
      <c r="O74" s="40"/>
    </row>
    <row r="75" spans="3:15">
      <c r="C75" s="40"/>
      <c r="D75" s="40"/>
      <c r="E75" s="41"/>
      <c r="H75" s="37"/>
      <c r="I75" s="41"/>
      <c r="J75" s="40"/>
      <c r="K75" s="40"/>
      <c r="L75" s="40"/>
      <c r="M75" s="37"/>
      <c r="N75" s="40"/>
      <c r="O75" s="40"/>
    </row>
    <row r="76" spans="3:15">
      <c r="C76" s="40"/>
      <c r="D76" s="40"/>
      <c r="E76" s="41"/>
      <c r="H76" s="37"/>
      <c r="I76" s="41"/>
      <c r="J76" s="40"/>
      <c r="K76" s="40"/>
      <c r="L76" s="40"/>
      <c r="M76" s="37"/>
      <c r="N76" s="40"/>
      <c r="O76" s="40"/>
    </row>
    <row r="77" spans="3:15">
      <c r="C77" s="40"/>
      <c r="D77" s="40"/>
      <c r="E77" s="41"/>
      <c r="H77" s="37"/>
      <c r="I77" s="41"/>
      <c r="J77" s="40"/>
      <c r="K77" s="40"/>
      <c r="L77" s="40"/>
      <c r="M77" s="37"/>
      <c r="N77" s="40"/>
      <c r="O77" s="40"/>
    </row>
    <row r="78" spans="3:15">
      <c r="C78" s="40"/>
      <c r="D78" s="40"/>
      <c r="E78" s="41"/>
      <c r="H78" s="37"/>
      <c r="I78" s="41"/>
      <c r="J78" s="40"/>
      <c r="K78" s="40"/>
      <c r="L78" s="40"/>
      <c r="M78" s="37"/>
      <c r="N78" s="40"/>
      <c r="O78" s="40"/>
    </row>
    <row r="79" spans="3:15">
      <c r="C79" s="40"/>
      <c r="D79" s="40"/>
      <c r="E79" s="41"/>
      <c r="H79" s="37"/>
      <c r="I79" s="41"/>
      <c r="J79" s="40"/>
      <c r="K79" s="40"/>
      <c r="L79" s="40"/>
      <c r="M79" s="37"/>
      <c r="N79" s="40"/>
      <c r="O79" s="40"/>
    </row>
    <row r="80" spans="3:15">
      <c r="C80" s="40"/>
      <c r="D80" s="40"/>
      <c r="E80" s="41"/>
      <c r="H80" s="37"/>
      <c r="I80" s="41"/>
      <c r="J80" s="40"/>
      <c r="K80" s="40"/>
      <c r="L80" s="40"/>
      <c r="M80" s="37"/>
      <c r="N80" s="40"/>
      <c r="O80" s="40"/>
    </row>
    <row r="81" spans="2:15">
      <c r="C81" s="40"/>
      <c r="D81" s="40"/>
      <c r="E81" s="41"/>
      <c r="H81" s="37"/>
      <c r="I81" s="41"/>
      <c r="J81" s="40"/>
      <c r="K81" s="40"/>
      <c r="L81" s="40"/>
      <c r="M81" s="37"/>
      <c r="N81" s="40"/>
      <c r="O81" s="40"/>
    </row>
    <row r="82" spans="2:15">
      <c r="C82" s="40"/>
      <c r="D82" s="40"/>
      <c r="E82" s="41"/>
      <c r="H82" s="37"/>
      <c r="I82" s="41"/>
      <c r="J82" s="40"/>
      <c r="K82" s="40"/>
      <c r="L82" s="40"/>
      <c r="M82" s="37"/>
      <c r="N82" s="40"/>
      <c r="O82" s="40"/>
    </row>
    <row r="83" spans="2:15">
      <c r="C83" s="40"/>
      <c r="D83" s="40"/>
      <c r="E83" s="41"/>
      <c r="H83" s="37"/>
      <c r="I83" s="41"/>
      <c r="J83" s="40"/>
      <c r="K83" s="40"/>
      <c r="L83" s="40"/>
      <c r="M83" s="37"/>
      <c r="N83" s="40"/>
      <c r="O83" s="40"/>
    </row>
    <row r="84" spans="2:15">
      <c r="C84" s="40"/>
      <c r="D84" s="40"/>
      <c r="E84" s="41"/>
      <c r="H84" s="37"/>
      <c r="I84" s="41"/>
      <c r="J84" s="40"/>
      <c r="K84" s="40"/>
      <c r="L84" s="40"/>
      <c r="M84" s="37"/>
      <c r="N84" s="40"/>
      <c r="O84" s="40"/>
    </row>
    <row r="85" spans="2:15">
      <c r="C85" s="40"/>
      <c r="D85" s="40"/>
      <c r="E85" s="41"/>
      <c r="H85" s="37"/>
      <c r="I85" s="41"/>
      <c r="J85" s="40"/>
      <c r="K85" s="40"/>
      <c r="L85" s="40"/>
      <c r="M85" s="37"/>
      <c r="N85" s="40"/>
      <c r="O85" s="40"/>
    </row>
    <row r="86" spans="2:15">
      <c r="C86" s="40"/>
      <c r="D86" s="40"/>
      <c r="E86" s="41"/>
      <c r="H86" s="37"/>
      <c r="I86" s="41"/>
      <c r="J86" s="40"/>
      <c r="K86" s="40"/>
      <c r="L86" s="40"/>
      <c r="M86" s="37"/>
      <c r="N86" s="40"/>
      <c r="O86" s="40"/>
    </row>
    <row r="87" spans="2:15">
      <c r="C87" s="40"/>
      <c r="D87" s="40"/>
      <c r="E87" s="41"/>
      <c r="H87" s="37"/>
      <c r="I87" s="41"/>
      <c r="J87" s="40"/>
      <c r="K87" s="40"/>
      <c r="L87" s="40"/>
      <c r="M87" s="37"/>
      <c r="N87" s="40"/>
      <c r="O87" s="40"/>
    </row>
    <row r="89" spans="2:15">
      <c r="B89" t="s">
        <v>40</v>
      </c>
      <c r="C89">
        <v>1.6E-2</v>
      </c>
    </row>
    <row r="90" spans="2:15" ht="18">
      <c r="B90" s="1" t="s">
        <v>37</v>
      </c>
      <c r="C90" s="1">
        <v>42600</v>
      </c>
    </row>
    <row r="91" spans="2:15">
      <c r="B91" t="s">
        <v>41</v>
      </c>
      <c r="C91">
        <v>3.6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5695-FFE8-46F5-9D1F-BB54859A8369}">
  <dimension ref="A1"/>
  <sheetViews>
    <sheetView zoomScale="92" workbookViewId="0">
      <selection activeCell="L55" sqref="L55"/>
    </sheetView>
  </sheetViews>
  <sheetFormatPr defaultRowHeight="15"/>
  <cols>
    <col min="1" max="16384" width="9.140625" style="52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motosport9</vt:lpstr>
      <vt:lpstr>lab</vt:lpstr>
      <vt:lpstr>Mondeo</vt:lpstr>
      <vt:lpstr>gm</vt:lpstr>
      <vt:lpstr>CAT</vt:lpstr>
      <vt:lpstr>Graphs</vt:lpstr>
    </vt:vector>
  </TitlesOfParts>
  <Company>Coventry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Gartside</dc:creator>
  <cp:lastModifiedBy>Oliver Brothwell</cp:lastModifiedBy>
  <cp:lastPrinted>2024-02-27T11:27:13Z</cp:lastPrinted>
  <dcterms:created xsi:type="dcterms:W3CDTF">2024-02-27T11:03:54Z</dcterms:created>
  <dcterms:modified xsi:type="dcterms:W3CDTF">2026-08-28T14:27:02Z</dcterms:modified>
</cp:coreProperties>
</file>